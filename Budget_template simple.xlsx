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om\Downloads\"/>
    </mc:Choice>
  </mc:AlternateContent>
  <xr:revisionPtr revIDLastSave="0" documentId="13_ncr:1_{3230492B-BA62-48A1-8EF3-1F9E02F00BFD}" xr6:coauthVersionLast="47" xr6:coauthVersionMax="47" xr10:uidLastSave="{00000000-0000-0000-0000-000000000000}"/>
  <bookViews>
    <workbookView xWindow="28680" yWindow="-5520" windowWidth="38640" windowHeight="21120" xr2:uid="{00000000-000D-0000-FFFF-FFFF00000000}"/>
  </bookViews>
  <sheets>
    <sheet name="Overview" sheetId="1" r:id="rId1"/>
    <sheet name="categories_cash book" sheetId="2" r:id="rId2"/>
    <sheet name="cash book - Argenta" sheetId="3" r:id="rId3"/>
    <sheet name="Pivot table" sheetId="6" r:id="rId4"/>
  </sheets>
  <externalReferences>
    <externalReference r:id="rId5"/>
  </externalReferences>
  <definedNames>
    <definedName name="BudgetTitle">[1]Summary!$B$1</definedName>
    <definedName name="Percentage_of_Income_Spent">'[1]Chart Data'!$B$5</definedName>
    <definedName name="Title2" localSheetId="0">[1]!MonthlyIncome[[#Headers],[ITEM]]</definedName>
    <definedName name="Title2">[1]!MonthlyIncome[[#Headers],[ITEM]]</definedName>
    <definedName name="Title3" localSheetId="0">[1]!MonthlyExpenses[[#Headers],[ITEM]]</definedName>
    <definedName name="Title3">[1]!MonthlyExpenses[[#Headers],[ITEM]]</definedName>
    <definedName name="Title4" localSheetId="0">[1]!Savings[[#Headers],[DATE]]</definedName>
    <definedName name="Title4">[1]!Savings[[#Headers],[DATE]]</definedName>
    <definedName name="TotalMonthlyExpenses">[1]Summary!$C$6</definedName>
    <definedName name="TotalMonthlyIncome">[1]Summary!$C$4</definedName>
    <definedName name="TotalMonthlySavings">[1]Summary!$C$8</definedName>
  </definedNames>
  <calcPr calcId="191029"/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nc3GbJ/k2alNC9/6AetjSJ+BicMVr6eu//xyLh1LjQ="/>
    </ext>
  </extLst>
</workbook>
</file>

<file path=xl/calcChain.xml><?xml version="1.0" encoding="utf-8"?>
<calcChain xmlns="http://schemas.openxmlformats.org/spreadsheetml/2006/main">
  <c r="C584" i="3" l="1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C495" i="3"/>
  <c r="B495" i="3"/>
  <c r="C494" i="3"/>
  <c r="B494" i="3"/>
  <c r="C493" i="3"/>
  <c r="B493" i="3"/>
  <c r="C492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C449" i="3"/>
  <c r="B449" i="3"/>
  <c r="C448" i="3"/>
  <c r="B448" i="3"/>
  <c r="C447" i="3"/>
  <c r="B447" i="3"/>
  <c r="C446" i="3"/>
  <c r="B446" i="3"/>
  <c r="C445" i="3"/>
  <c r="B445" i="3"/>
  <c r="C444" i="3"/>
  <c r="B444" i="3"/>
  <c r="C443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C346" i="3"/>
  <c r="B346" i="3"/>
  <c r="C345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C298" i="3"/>
  <c r="B298" i="3"/>
  <c r="C297" i="3"/>
  <c r="B297" i="3"/>
  <c r="C296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51" i="3"/>
  <c r="B251" i="3"/>
  <c r="C250" i="3"/>
  <c r="B250" i="3"/>
  <c r="C249" i="3"/>
  <c r="B249" i="3"/>
  <c r="C248" i="3"/>
  <c r="B248" i="3"/>
  <c r="C247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C200" i="3"/>
  <c r="B200" i="3"/>
  <c r="C199" i="3"/>
  <c r="B199" i="3"/>
  <c r="C198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C150" i="3"/>
  <c r="B150" i="3"/>
  <c r="C149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H2" i="3"/>
  <c r="H3" i="3" s="1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H59" i="3" s="1"/>
  <c r="H60" i="3" s="1"/>
  <c r="H61" i="3" s="1"/>
  <c r="H62" i="3" s="1"/>
  <c r="H63" i="3" s="1"/>
  <c r="H64" i="3" s="1"/>
  <c r="H65" i="3" s="1"/>
  <c r="H66" i="3" s="1"/>
  <c r="H67" i="3" s="1"/>
  <c r="H68" i="3" s="1"/>
  <c r="H69" i="3" s="1"/>
  <c r="H70" i="3" s="1"/>
  <c r="H71" i="3" s="1"/>
  <c r="H72" i="3" s="1"/>
  <c r="H73" i="3" s="1"/>
  <c r="H74" i="3" s="1"/>
  <c r="H75" i="3" s="1"/>
  <c r="H76" i="3" s="1"/>
  <c r="H77" i="3" s="1"/>
  <c r="H78" i="3" s="1"/>
  <c r="H79" i="3" s="1"/>
  <c r="H80" i="3" s="1"/>
  <c r="H81" i="3" s="1"/>
  <c r="H82" i="3" s="1"/>
  <c r="H83" i="3" s="1"/>
  <c r="H84" i="3" s="1"/>
  <c r="H85" i="3" s="1"/>
  <c r="H86" i="3" s="1"/>
  <c r="H87" i="3" s="1"/>
  <c r="H88" i="3" s="1"/>
  <c r="H89" i="3" s="1"/>
  <c r="H90" i="3" s="1"/>
  <c r="H91" i="3" s="1"/>
  <c r="H92" i="3" s="1"/>
  <c r="H93" i="3" s="1"/>
  <c r="H94" i="3" s="1"/>
  <c r="H95" i="3" s="1"/>
  <c r="H96" i="3" s="1"/>
  <c r="H97" i="3" s="1"/>
  <c r="H98" i="3" s="1"/>
  <c r="H99" i="3" s="1"/>
  <c r="H100" i="3" s="1"/>
  <c r="H101" i="3" s="1"/>
  <c r="H102" i="3" s="1"/>
  <c r="H103" i="3" s="1"/>
  <c r="H104" i="3" s="1"/>
  <c r="H105" i="3" s="1"/>
  <c r="H106" i="3" s="1"/>
  <c r="H107" i="3" s="1"/>
  <c r="H108" i="3" s="1"/>
  <c r="H109" i="3" s="1"/>
  <c r="H110" i="3" s="1"/>
  <c r="H111" i="3" s="1"/>
  <c r="H112" i="3" s="1"/>
  <c r="H113" i="3" s="1"/>
  <c r="H114" i="3" s="1"/>
  <c r="H115" i="3" s="1"/>
  <c r="H116" i="3" s="1"/>
  <c r="H117" i="3" s="1"/>
  <c r="H118" i="3" s="1"/>
  <c r="H119" i="3" s="1"/>
  <c r="H120" i="3" s="1"/>
  <c r="H121" i="3" s="1"/>
  <c r="H122" i="3" s="1"/>
  <c r="H123" i="3" s="1"/>
  <c r="H124" i="3" s="1"/>
  <c r="H125" i="3" s="1"/>
  <c r="H126" i="3" s="1"/>
  <c r="H127" i="3" s="1"/>
  <c r="H128" i="3" s="1"/>
  <c r="H129" i="3" s="1"/>
  <c r="H130" i="3" s="1"/>
  <c r="H131" i="3" s="1"/>
  <c r="H132" i="3" s="1"/>
  <c r="H133" i="3" s="1"/>
  <c r="H134" i="3" s="1"/>
  <c r="H135" i="3" s="1"/>
  <c r="H136" i="3" s="1"/>
  <c r="H137" i="3" s="1"/>
  <c r="H138" i="3" s="1"/>
  <c r="H139" i="3" s="1"/>
  <c r="H140" i="3" s="1"/>
  <c r="H141" i="3" s="1"/>
  <c r="H142" i="3" s="1"/>
  <c r="H143" i="3" s="1"/>
  <c r="H144" i="3" s="1"/>
  <c r="H145" i="3" s="1"/>
  <c r="H146" i="3" s="1"/>
  <c r="H147" i="3" s="1"/>
  <c r="H148" i="3" s="1"/>
  <c r="H149" i="3" s="1"/>
  <c r="H150" i="3" s="1"/>
  <c r="H151" i="3" s="1"/>
  <c r="H152" i="3" s="1"/>
  <c r="H153" i="3" s="1"/>
  <c r="H154" i="3" s="1"/>
  <c r="H155" i="3" s="1"/>
  <c r="H156" i="3" s="1"/>
  <c r="H157" i="3" s="1"/>
  <c r="H158" i="3" s="1"/>
  <c r="H159" i="3" s="1"/>
  <c r="H160" i="3" s="1"/>
  <c r="H161" i="3" s="1"/>
  <c r="H162" i="3" s="1"/>
  <c r="H163" i="3" s="1"/>
  <c r="H164" i="3" s="1"/>
  <c r="H165" i="3" s="1"/>
  <c r="H166" i="3" s="1"/>
  <c r="H167" i="3" s="1"/>
  <c r="H168" i="3" s="1"/>
  <c r="H169" i="3" s="1"/>
  <c r="H170" i="3" s="1"/>
  <c r="H171" i="3" s="1"/>
  <c r="H172" i="3" s="1"/>
  <c r="H173" i="3" s="1"/>
  <c r="H174" i="3" s="1"/>
  <c r="H175" i="3" s="1"/>
  <c r="H176" i="3" s="1"/>
  <c r="H177" i="3" s="1"/>
  <c r="H178" i="3" s="1"/>
  <c r="H179" i="3" s="1"/>
  <c r="H180" i="3" s="1"/>
  <c r="H181" i="3" s="1"/>
  <c r="H182" i="3" s="1"/>
  <c r="H183" i="3" s="1"/>
  <c r="H184" i="3" s="1"/>
  <c r="H185" i="3" s="1"/>
  <c r="H186" i="3" s="1"/>
  <c r="H187" i="3" s="1"/>
  <c r="H188" i="3" s="1"/>
  <c r="H189" i="3" s="1"/>
  <c r="H190" i="3" s="1"/>
  <c r="H191" i="3" s="1"/>
  <c r="H192" i="3" s="1"/>
  <c r="H193" i="3" s="1"/>
  <c r="H194" i="3" s="1"/>
  <c r="H195" i="3" s="1"/>
  <c r="H196" i="3" s="1"/>
  <c r="H197" i="3" s="1"/>
  <c r="H198" i="3" s="1"/>
  <c r="H199" i="3" s="1"/>
  <c r="H200" i="3" s="1"/>
  <c r="H201" i="3" s="1"/>
  <c r="H202" i="3" s="1"/>
  <c r="H203" i="3" s="1"/>
  <c r="H204" i="3" s="1"/>
  <c r="H205" i="3" s="1"/>
  <c r="H206" i="3" s="1"/>
  <c r="H207" i="3" s="1"/>
  <c r="H208" i="3" s="1"/>
  <c r="H209" i="3" s="1"/>
  <c r="H210" i="3" s="1"/>
  <c r="H211" i="3" s="1"/>
  <c r="H212" i="3" s="1"/>
  <c r="H213" i="3" s="1"/>
  <c r="H214" i="3" s="1"/>
  <c r="H215" i="3" s="1"/>
  <c r="H216" i="3" s="1"/>
  <c r="H217" i="3" s="1"/>
  <c r="H218" i="3" s="1"/>
  <c r="H219" i="3" s="1"/>
  <c r="H220" i="3" s="1"/>
  <c r="H221" i="3" s="1"/>
  <c r="H222" i="3" s="1"/>
  <c r="H223" i="3" s="1"/>
  <c r="H224" i="3" s="1"/>
  <c r="H225" i="3" s="1"/>
  <c r="H226" i="3" s="1"/>
  <c r="H227" i="3" s="1"/>
  <c r="H228" i="3" s="1"/>
  <c r="H229" i="3" s="1"/>
  <c r="H230" i="3" s="1"/>
  <c r="H231" i="3" s="1"/>
  <c r="H232" i="3" s="1"/>
  <c r="H233" i="3" s="1"/>
  <c r="H234" i="3" s="1"/>
  <c r="H235" i="3" s="1"/>
  <c r="H236" i="3" s="1"/>
  <c r="H237" i="3" s="1"/>
  <c r="H238" i="3" s="1"/>
  <c r="H239" i="3" s="1"/>
  <c r="H240" i="3" s="1"/>
  <c r="H241" i="3" s="1"/>
  <c r="H242" i="3" s="1"/>
  <c r="H243" i="3" s="1"/>
  <c r="H244" i="3" s="1"/>
  <c r="H245" i="3" s="1"/>
  <c r="H246" i="3" s="1"/>
  <c r="H247" i="3" s="1"/>
  <c r="H248" i="3" s="1"/>
  <c r="H249" i="3" s="1"/>
  <c r="H250" i="3" s="1"/>
  <c r="H251" i="3" s="1"/>
  <c r="H252" i="3" s="1"/>
  <c r="H253" i="3" s="1"/>
  <c r="H254" i="3" s="1"/>
  <c r="H255" i="3" s="1"/>
  <c r="H256" i="3" s="1"/>
  <c r="H257" i="3" s="1"/>
  <c r="H258" i="3" s="1"/>
  <c r="H259" i="3" s="1"/>
  <c r="H260" i="3" s="1"/>
  <c r="H261" i="3" s="1"/>
  <c r="H262" i="3" s="1"/>
  <c r="H263" i="3" s="1"/>
  <c r="H264" i="3" s="1"/>
  <c r="H265" i="3" s="1"/>
  <c r="H266" i="3" s="1"/>
  <c r="H267" i="3" s="1"/>
  <c r="H268" i="3" s="1"/>
  <c r="H269" i="3" s="1"/>
  <c r="H270" i="3" s="1"/>
  <c r="H271" i="3" s="1"/>
  <c r="H272" i="3" s="1"/>
  <c r="H273" i="3" s="1"/>
  <c r="H274" i="3" s="1"/>
  <c r="H275" i="3" s="1"/>
  <c r="H276" i="3" s="1"/>
  <c r="H277" i="3" s="1"/>
  <c r="H278" i="3" s="1"/>
  <c r="H279" i="3" s="1"/>
  <c r="H280" i="3" s="1"/>
  <c r="H281" i="3" s="1"/>
  <c r="H282" i="3" s="1"/>
  <c r="H283" i="3" s="1"/>
  <c r="H284" i="3" s="1"/>
  <c r="H285" i="3" s="1"/>
  <c r="H286" i="3" s="1"/>
  <c r="H287" i="3" s="1"/>
  <c r="H288" i="3" s="1"/>
  <c r="H289" i="3" s="1"/>
  <c r="H290" i="3" s="1"/>
  <c r="H291" i="3" s="1"/>
  <c r="H292" i="3" s="1"/>
  <c r="H293" i="3" s="1"/>
  <c r="H294" i="3" s="1"/>
  <c r="H295" i="3" s="1"/>
  <c r="H296" i="3" s="1"/>
  <c r="H297" i="3" s="1"/>
  <c r="H298" i="3" s="1"/>
  <c r="H299" i="3" s="1"/>
  <c r="H300" i="3" s="1"/>
  <c r="H301" i="3" s="1"/>
  <c r="H302" i="3" s="1"/>
  <c r="H303" i="3" s="1"/>
  <c r="H304" i="3" s="1"/>
  <c r="H305" i="3" s="1"/>
  <c r="H306" i="3" s="1"/>
  <c r="H307" i="3" s="1"/>
  <c r="H308" i="3" s="1"/>
  <c r="H309" i="3" s="1"/>
  <c r="H310" i="3" s="1"/>
  <c r="H311" i="3" s="1"/>
  <c r="H312" i="3" s="1"/>
  <c r="H313" i="3" s="1"/>
  <c r="H314" i="3" s="1"/>
  <c r="H315" i="3" s="1"/>
  <c r="H316" i="3" s="1"/>
  <c r="H317" i="3" s="1"/>
  <c r="H318" i="3" s="1"/>
  <c r="H319" i="3" s="1"/>
  <c r="H320" i="3" s="1"/>
  <c r="H321" i="3" s="1"/>
  <c r="H322" i="3" s="1"/>
  <c r="H323" i="3" s="1"/>
  <c r="H324" i="3" s="1"/>
  <c r="H325" i="3" s="1"/>
  <c r="H326" i="3" s="1"/>
  <c r="H327" i="3" s="1"/>
  <c r="H328" i="3" s="1"/>
  <c r="H329" i="3" s="1"/>
  <c r="H330" i="3" s="1"/>
  <c r="H331" i="3" s="1"/>
  <c r="H332" i="3" s="1"/>
  <c r="H333" i="3" s="1"/>
  <c r="H334" i="3" s="1"/>
  <c r="H335" i="3" s="1"/>
  <c r="H336" i="3" s="1"/>
  <c r="H337" i="3" s="1"/>
  <c r="H338" i="3" s="1"/>
  <c r="H339" i="3" s="1"/>
  <c r="H340" i="3" s="1"/>
  <c r="H341" i="3" s="1"/>
  <c r="H342" i="3" s="1"/>
  <c r="H343" i="3" s="1"/>
  <c r="H344" i="3" s="1"/>
  <c r="H345" i="3" s="1"/>
  <c r="H346" i="3" s="1"/>
  <c r="H347" i="3" s="1"/>
  <c r="H348" i="3" s="1"/>
  <c r="H349" i="3" s="1"/>
  <c r="H350" i="3" s="1"/>
  <c r="H351" i="3" s="1"/>
  <c r="H352" i="3" s="1"/>
  <c r="H353" i="3" s="1"/>
  <c r="H354" i="3" s="1"/>
  <c r="H355" i="3" s="1"/>
  <c r="H356" i="3" s="1"/>
  <c r="H357" i="3" s="1"/>
  <c r="H358" i="3" s="1"/>
  <c r="H359" i="3" s="1"/>
  <c r="H360" i="3" s="1"/>
  <c r="H361" i="3" s="1"/>
  <c r="H362" i="3" s="1"/>
  <c r="H363" i="3" s="1"/>
  <c r="H364" i="3" s="1"/>
  <c r="H365" i="3" s="1"/>
  <c r="H366" i="3" s="1"/>
  <c r="H367" i="3" s="1"/>
  <c r="H368" i="3" s="1"/>
  <c r="H369" i="3" s="1"/>
  <c r="H370" i="3" s="1"/>
  <c r="H371" i="3" s="1"/>
  <c r="H372" i="3" s="1"/>
  <c r="H373" i="3" s="1"/>
  <c r="H374" i="3" s="1"/>
  <c r="H375" i="3" s="1"/>
  <c r="H376" i="3" s="1"/>
  <c r="H377" i="3" s="1"/>
  <c r="H378" i="3" s="1"/>
  <c r="H379" i="3" s="1"/>
  <c r="H380" i="3" s="1"/>
  <c r="H381" i="3" s="1"/>
  <c r="H382" i="3" s="1"/>
  <c r="H383" i="3" s="1"/>
  <c r="H384" i="3" s="1"/>
  <c r="H385" i="3" s="1"/>
  <c r="H386" i="3" s="1"/>
  <c r="H387" i="3" s="1"/>
  <c r="H388" i="3" s="1"/>
  <c r="H389" i="3" s="1"/>
  <c r="H390" i="3" s="1"/>
  <c r="H391" i="3" s="1"/>
  <c r="H392" i="3" s="1"/>
  <c r="H393" i="3" s="1"/>
  <c r="H394" i="3" s="1"/>
  <c r="H395" i="3" s="1"/>
  <c r="H396" i="3" s="1"/>
  <c r="H397" i="3" s="1"/>
  <c r="H398" i="3" s="1"/>
  <c r="H399" i="3" s="1"/>
  <c r="H400" i="3" s="1"/>
  <c r="H401" i="3" s="1"/>
  <c r="H402" i="3" s="1"/>
  <c r="H403" i="3" s="1"/>
  <c r="H404" i="3" s="1"/>
  <c r="H405" i="3" s="1"/>
  <c r="H406" i="3" s="1"/>
  <c r="H407" i="3" s="1"/>
  <c r="H408" i="3" s="1"/>
  <c r="H409" i="3" s="1"/>
  <c r="H410" i="3" s="1"/>
  <c r="H411" i="3" s="1"/>
  <c r="H412" i="3" s="1"/>
  <c r="H413" i="3" s="1"/>
  <c r="H414" i="3" s="1"/>
  <c r="H415" i="3" s="1"/>
  <c r="H416" i="3" s="1"/>
  <c r="H417" i="3" s="1"/>
  <c r="H418" i="3" s="1"/>
  <c r="H419" i="3" s="1"/>
  <c r="H420" i="3" s="1"/>
  <c r="H421" i="3" s="1"/>
  <c r="H422" i="3" s="1"/>
  <c r="H423" i="3" s="1"/>
  <c r="H424" i="3" s="1"/>
  <c r="H425" i="3" s="1"/>
  <c r="H426" i="3" s="1"/>
  <c r="H427" i="3" s="1"/>
  <c r="H428" i="3" s="1"/>
  <c r="H429" i="3" s="1"/>
  <c r="H430" i="3" s="1"/>
  <c r="H431" i="3" s="1"/>
  <c r="H432" i="3" s="1"/>
  <c r="H433" i="3" s="1"/>
  <c r="H434" i="3" s="1"/>
  <c r="H435" i="3" s="1"/>
  <c r="H436" i="3" s="1"/>
  <c r="H437" i="3" s="1"/>
  <c r="H438" i="3" s="1"/>
  <c r="H439" i="3" s="1"/>
  <c r="H440" i="3" s="1"/>
  <c r="H441" i="3" s="1"/>
  <c r="H442" i="3" s="1"/>
  <c r="H443" i="3" s="1"/>
  <c r="H444" i="3" s="1"/>
  <c r="H445" i="3" s="1"/>
  <c r="H446" i="3" s="1"/>
  <c r="H447" i="3" s="1"/>
  <c r="H448" i="3" s="1"/>
  <c r="H449" i="3" s="1"/>
  <c r="H450" i="3" s="1"/>
  <c r="H451" i="3" s="1"/>
  <c r="H452" i="3" s="1"/>
  <c r="H453" i="3" s="1"/>
  <c r="H454" i="3" s="1"/>
  <c r="H455" i="3" s="1"/>
  <c r="H456" i="3" s="1"/>
  <c r="H457" i="3" s="1"/>
  <c r="H458" i="3" s="1"/>
  <c r="H459" i="3" s="1"/>
  <c r="H460" i="3" s="1"/>
  <c r="H461" i="3" s="1"/>
  <c r="H462" i="3" s="1"/>
  <c r="H463" i="3" s="1"/>
  <c r="H464" i="3" s="1"/>
  <c r="H465" i="3" s="1"/>
  <c r="H466" i="3" s="1"/>
  <c r="H467" i="3" s="1"/>
  <c r="H468" i="3" s="1"/>
  <c r="H469" i="3" s="1"/>
  <c r="H470" i="3" s="1"/>
  <c r="H471" i="3" s="1"/>
  <c r="H472" i="3" s="1"/>
  <c r="H473" i="3" s="1"/>
  <c r="H474" i="3" s="1"/>
  <c r="H475" i="3" s="1"/>
  <c r="H476" i="3" s="1"/>
  <c r="H477" i="3" s="1"/>
  <c r="H478" i="3" s="1"/>
  <c r="H479" i="3" s="1"/>
  <c r="H480" i="3" s="1"/>
  <c r="H481" i="3" s="1"/>
  <c r="H482" i="3" s="1"/>
  <c r="H483" i="3" s="1"/>
  <c r="H484" i="3" s="1"/>
  <c r="H485" i="3" s="1"/>
  <c r="H486" i="3" s="1"/>
  <c r="H487" i="3" s="1"/>
  <c r="H488" i="3" s="1"/>
  <c r="H489" i="3" s="1"/>
  <c r="H490" i="3" s="1"/>
  <c r="H491" i="3" s="1"/>
  <c r="H492" i="3" s="1"/>
  <c r="H493" i="3" s="1"/>
  <c r="H494" i="3" s="1"/>
  <c r="H495" i="3" s="1"/>
  <c r="H496" i="3" s="1"/>
  <c r="H497" i="3" s="1"/>
  <c r="H498" i="3" s="1"/>
  <c r="H499" i="3" s="1"/>
  <c r="H500" i="3" s="1"/>
  <c r="H501" i="3" s="1"/>
  <c r="H502" i="3" s="1"/>
  <c r="H503" i="3" s="1"/>
  <c r="H504" i="3" s="1"/>
  <c r="H505" i="3" s="1"/>
  <c r="H506" i="3" s="1"/>
  <c r="H507" i="3" s="1"/>
  <c r="H508" i="3" s="1"/>
  <c r="H509" i="3" s="1"/>
  <c r="H510" i="3" s="1"/>
  <c r="H511" i="3" s="1"/>
  <c r="H512" i="3" s="1"/>
  <c r="H513" i="3" s="1"/>
  <c r="H514" i="3" s="1"/>
  <c r="H515" i="3" s="1"/>
  <c r="H516" i="3" s="1"/>
  <c r="H517" i="3" s="1"/>
  <c r="H518" i="3" s="1"/>
  <c r="H519" i="3" s="1"/>
  <c r="H520" i="3" s="1"/>
  <c r="H521" i="3" s="1"/>
  <c r="H522" i="3" s="1"/>
  <c r="H523" i="3" s="1"/>
  <c r="H524" i="3" s="1"/>
  <c r="H525" i="3" s="1"/>
  <c r="H526" i="3" s="1"/>
  <c r="H527" i="3" s="1"/>
  <c r="H528" i="3" s="1"/>
  <c r="H529" i="3" s="1"/>
  <c r="H530" i="3" s="1"/>
  <c r="H531" i="3" s="1"/>
  <c r="H532" i="3" s="1"/>
  <c r="H533" i="3" s="1"/>
  <c r="H534" i="3" s="1"/>
  <c r="H535" i="3" s="1"/>
  <c r="H536" i="3" s="1"/>
  <c r="H537" i="3" s="1"/>
  <c r="H538" i="3" s="1"/>
  <c r="H539" i="3" s="1"/>
  <c r="H540" i="3" s="1"/>
  <c r="H541" i="3" s="1"/>
  <c r="H542" i="3" s="1"/>
  <c r="H543" i="3" s="1"/>
  <c r="H544" i="3" s="1"/>
  <c r="H545" i="3" s="1"/>
  <c r="H546" i="3" s="1"/>
  <c r="H547" i="3" s="1"/>
  <c r="H548" i="3" s="1"/>
  <c r="H549" i="3" s="1"/>
  <c r="H550" i="3" s="1"/>
  <c r="H551" i="3" s="1"/>
  <c r="H552" i="3" s="1"/>
  <c r="H553" i="3" s="1"/>
  <c r="H554" i="3" s="1"/>
  <c r="H555" i="3" s="1"/>
  <c r="H556" i="3" s="1"/>
  <c r="H557" i="3" s="1"/>
  <c r="H558" i="3" s="1"/>
  <c r="H559" i="3" s="1"/>
  <c r="H560" i="3" s="1"/>
  <c r="H561" i="3" s="1"/>
  <c r="H562" i="3" s="1"/>
  <c r="H563" i="3" s="1"/>
  <c r="H564" i="3" s="1"/>
  <c r="H565" i="3" s="1"/>
  <c r="H566" i="3" s="1"/>
  <c r="H567" i="3" s="1"/>
  <c r="H568" i="3" s="1"/>
  <c r="H569" i="3" s="1"/>
  <c r="H570" i="3" s="1"/>
  <c r="H571" i="3" s="1"/>
  <c r="H572" i="3" s="1"/>
  <c r="H573" i="3" s="1"/>
  <c r="H574" i="3" s="1"/>
  <c r="H575" i="3" s="1"/>
  <c r="H576" i="3" s="1"/>
  <c r="H577" i="3" s="1"/>
  <c r="H578" i="3" s="1"/>
  <c r="H579" i="3" s="1"/>
  <c r="H580" i="3" s="1"/>
  <c r="H581" i="3" s="1"/>
  <c r="H582" i="3" s="1"/>
  <c r="H583" i="3" s="1"/>
  <c r="H584" i="3" s="1"/>
  <c r="C2" i="3"/>
  <c r="B2" i="3"/>
</calcChain>
</file>

<file path=xl/sharedStrings.xml><?xml version="1.0" encoding="utf-8"?>
<sst xmlns="http://schemas.openxmlformats.org/spreadsheetml/2006/main" count="75" uniqueCount="51">
  <si>
    <t>balans op 1/1/2024</t>
  </si>
  <si>
    <t>balans op 1/1/2025</t>
  </si>
  <si>
    <t>balans op 1/1/2026</t>
  </si>
  <si>
    <t>balans op 1/1/2027</t>
  </si>
  <si>
    <t>balans op 1/1/2028</t>
  </si>
  <si>
    <t>Deutsche - savings</t>
  </si>
  <si>
    <t>Deutsche - savings 2</t>
  </si>
  <si>
    <t>Deutsche - investment</t>
  </si>
  <si>
    <t>categorieën uitgaven</t>
  </si>
  <si>
    <t>Birthday/holiday</t>
  </si>
  <si>
    <t>Clothes</t>
  </si>
  <si>
    <t>Entertainment</t>
  </si>
  <si>
    <t>Free time spent</t>
  </si>
  <si>
    <t>Groceries</t>
  </si>
  <si>
    <t>Health</t>
  </si>
  <si>
    <t>Hobby's</t>
  </si>
  <si>
    <t>Insurance</t>
  </si>
  <si>
    <t>Investments</t>
  </si>
  <si>
    <t>Job</t>
  </si>
  <si>
    <t>Other</t>
  </si>
  <si>
    <t>Personal care</t>
  </si>
  <si>
    <t>Pet</t>
  </si>
  <si>
    <t>Public transport</t>
  </si>
  <si>
    <t>Rent</t>
  </si>
  <si>
    <t>Savings</t>
  </si>
  <si>
    <t>Subscriptions</t>
  </si>
  <si>
    <t>Travel</t>
  </si>
  <si>
    <t>Date</t>
  </si>
  <si>
    <t>Month</t>
  </si>
  <si>
    <t>Year</t>
  </si>
  <si>
    <t>Description</t>
  </si>
  <si>
    <t>Category</t>
  </si>
  <si>
    <t>Income</t>
  </si>
  <si>
    <t>Expenses</t>
  </si>
  <si>
    <t>Balance</t>
  </si>
  <si>
    <t>Huur</t>
  </si>
  <si>
    <t>Belegging</t>
  </si>
  <si>
    <t>Spaar</t>
  </si>
  <si>
    <t>Persoonlijke verzorging</t>
  </si>
  <si>
    <t>Boodschappen</t>
  </si>
  <si>
    <t>Kleding</t>
  </si>
  <si>
    <t>Gezondheid</t>
  </si>
  <si>
    <t>Hond</t>
  </si>
  <si>
    <t>Grand Total</t>
  </si>
  <si>
    <t>(All)</t>
  </si>
  <si>
    <t>Sum of Expenses</t>
  </si>
  <si>
    <t>Sum of Income</t>
  </si>
  <si>
    <t>Row Labels</t>
  </si>
  <si>
    <t>Argenta - checking</t>
  </si>
  <si>
    <t>Degiro - investment</t>
  </si>
  <si>
    <t>Bank -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</si>
</sst>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€&quot;\ * #,##0.00_ ;_ &quot;€&quot;\ * \-#,##0.00_ ;_ &quot;€&quot;\ * &quot;-&quot;??_ ;_ @_ "/>
    <numFmt numFmtId="164" formatCode="_-* #,##0.00\ &quot;€&quot;_-;\-* #,##0.00\ &quot;€&quot;_-;_-* &quot;-&quot;??\ &quot;€&quot;_-;_-@"/>
    <numFmt numFmtId="165" formatCode="_ [$€-813]\ * #,##0.00_ ;_ [$€-813]\ * \-#,##0.00_ ;_ [$€-813]\ * &quot;-&quot;??_ ;_ @_ "/>
    <numFmt numFmtId="166" formatCode="d\-m\-yyyy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657C9C"/>
      <name val="Calibri"/>
    </font>
    <font>
      <sz val="12"/>
      <color theme="1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theme="9" tint="0.59999389629810485"/>
        <bgColor rgb="FFE2EFD9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0" fontId="1" fillId="0" borderId="2" xfId="0" applyFont="1" applyBorder="1" applyAlignment="1">
      <alignment vertical="center" wrapText="1"/>
    </xf>
    <xf numFmtId="0" fontId="1" fillId="0" borderId="2" xfId="0" applyFont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/>
    <xf numFmtId="14" fontId="3" fillId="0" borderId="0" xfId="0" applyNumberFormat="1" applyFont="1" applyAlignment="1">
      <alignment horizontal="center" vertical="center"/>
    </xf>
    <xf numFmtId="0" fontId="0" fillId="0" borderId="3" xfId="0" applyBorder="1"/>
    <xf numFmtId="0" fontId="0" fillId="0" borderId="3" xfId="0" pivotButton="1" applyBorder="1"/>
    <xf numFmtId="166" fontId="3" fillId="3" borderId="4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/>
    </xf>
    <xf numFmtId="0" fontId="0" fillId="0" borderId="4" xfId="0" applyBorder="1"/>
    <xf numFmtId="166" fontId="3" fillId="4" borderId="5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/>
    </xf>
    <xf numFmtId="166" fontId="3" fillId="3" borderId="5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165" fontId="3" fillId="6" borderId="5" xfId="0" applyNumberFormat="1" applyFont="1" applyFill="1" applyBorder="1" applyAlignment="1">
      <alignment horizontal="center" vertical="center"/>
    </xf>
    <xf numFmtId="166" fontId="3" fillId="5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0" fillId="0" borderId="7" xfId="0" pivotButton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44" fontId="0" fillId="0" borderId="7" xfId="0" applyNumberFormat="1" applyBorder="1"/>
    <xf numFmtId="44" fontId="0" fillId="0" borderId="9" xfId="0" applyNumberFormat="1" applyBorder="1"/>
    <xf numFmtId="44" fontId="0" fillId="0" borderId="8" xfId="0" applyNumberFormat="1" applyBorder="1"/>
    <xf numFmtId="44" fontId="0" fillId="0" borderId="12" xfId="0" applyNumberFormat="1" applyBorder="1"/>
    <xf numFmtId="44" fontId="0" fillId="0" borderId="10" xfId="0" applyNumberFormat="1" applyBorder="1"/>
    <xf numFmtId="44" fontId="0" fillId="0" borderId="11" xfId="0" applyNumberFormat="1" applyBorder="1"/>
    <xf numFmtId="0" fontId="4" fillId="0" borderId="0" xfId="0" applyFont="1"/>
    <xf numFmtId="0" fontId="6" fillId="2" borderId="1" xfId="0" applyFont="1" applyFill="1" applyBorder="1"/>
    <xf numFmtId="0" fontId="7" fillId="7" borderId="0" xfId="0" applyFont="1" applyFill="1" applyAlignment="1">
      <alignment horizontal="left" vertical="center"/>
    </xf>
  </cellXfs>
  <cellStyles count="1">
    <cellStyle name="Normal" xfId="0" builtinId="0"/>
  </cellStyles>
  <dxfs count="18">
    <dxf>
      <font>
        <strike val="0"/>
        <outline val="0"/>
        <shadow val="0"/>
        <u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</dxf>
    <dxf>
      <numFmt numFmtId="34" formatCode="_ &quot;€&quot;\ * #,##0.00_ ;_ &quot;€&quot;\ * \-#,##0.00_ ;_ &quot;€&quot;\ * &quot;-&quot;??_ ;_ @_ "/>
    </dxf>
    <dxf>
      <font>
        <b/>
        <family val="2"/>
      </font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border diagonalUp="0" diagonalDown="0">
        <left/>
        <right/>
        <top style="hair">
          <color indexed="64"/>
        </top>
        <bottom style="hair">
          <color indexed="64"/>
        </bottom>
        <vertical/>
        <horizontal style="hair">
          <color indexed="64"/>
        </horizontal>
      </border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categories_cash book-style" pivot="0" count="4" xr9:uid="{00000000-0011-0000-FFFF-FFFF00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cash book-style" pivot="0" count="3" xr9:uid="{00000000-0011-0000-FFFF-FFFF01000000}"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m/Budget/Budget_Januari_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punt"/>
      <sheetName val="kasboek_categoriën"/>
      <sheetName val="kasboek"/>
      <sheetName val="Monthly Income"/>
      <sheetName val="Monthly Expenses"/>
      <sheetName val="Monthly Savings"/>
      <sheetName val="Summary"/>
      <sheetName val="Chart Data"/>
      <sheetName val="Budget_Januari_2022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" refreshedDate="46007.925354282408" createdVersion="8" refreshedVersion="8" minRefreshableVersion="3" recordCount="583" xr:uid="{4DCF19E1-6088-4D6D-8EC9-4CCA683A9975}">
  <cacheSource type="worksheet">
    <worksheetSource name="Table_1"/>
  </cacheSource>
  <cacheFields count="8">
    <cacheField name="Date" numFmtId="0">
      <sharedItems containsNonDate="0" containsDate="1" containsString="0" containsBlank="1" minDate="2024-01-01T00:00:00" maxDate="2025-02-11T00:00:00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1900" maxValue="2025" count="3">
        <n v="2024"/>
        <n v="2025"/>
        <n v="1900"/>
      </sharedItems>
    </cacheField>
    <cacheField name="Description" numFmtId="0">
      <sharedItems containsNonDate="0" containsString="0" containsBlank="1"/>
    </cacheField>
    <cacheField name="Category" numFmtId="0">
      <sharedItems containsBlank="1" count="12">
        <s v="Huur"/>
        <s v="Belegging"/>
        <s v="Spaar"/>
        <s v="Persoonlijke verzorging"/>
        <s v="Boodschappen"/>
        <s v="Kleding"/>
        <s v="Entertainment"/>
        <s v="Hobby's"/>
        <s v="Gezondheid"/>
        <s v="Hond"/>
        <s v="Job"/>
        <m/>
      </sharedItems>
    </cacheField>
    <cacheField name="Income" numFmtId="165">
      <sharedItems containsString="0" containsBlank="1" containsNumber="1" containsInteger="1" minValue="3000" maxValue="3000"/>
    </cacheField>
    <cacheField name="Expenses" numFmtId="0">
      <sharedItems containsString="0" containsBlank="1" containsNumber="1" containsInteger="1" minValue="15" maxValue="1200"/>
    </cacheField>
    <cacheField name="Balance" numFmtId="165">
      <sharedItems containsSemiMixedTypes="0" containsString="0" containsNumber="1" containsInteger="1" minValue="2025" maxValue="5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3">
  <r>
    <d v="2024-01-01T00:00:00"/>
    <n v="1"/>
    <x v="0"/>
    <m/>
    <x v="0"/>
    <m/>
    <m/>
    <n v="5000"/>
  </r>
  <r>
    <d v="2024-01-03T00:00:00"/>
    <n v="1"/>
    <x v="0"/>
    <m/>
    <x v="1"/>
    <m/>
    <n v="1200"/>
    <n v="3800"/>
  </r>
  <r>
    <d v="2024-01-03T00:00:00"/>
    <n v="1"/>
    <x v="0"/>
    <m/>
    <x v="2"/>
    <m/>
    <n v="300"/>
    <n v="3500"/>
  </r>
  <r>
    <d v="2024-01-05T00:00:00"/>
    <n v="1"/>
    <x v="0"/>
    <m/>
    <x v="3"/>
    <m/>
    <n v="45"/>
    <n v="3455"/>
  </r>
  <r>
    <d v="2024-01-12T00:00:00"/>
    <n v="1"/>
    <x v="0"/>
    <m/>
    <x v="3"/>
    <m/>
    <n v="30"/>
    <n v="3425"/>
  </r>
  <r>
    <d v="2024-01-12T00:00:00"/>
    <n v="1"/>
    <x v="0"/>
    <m/>
    <x v="4"/>
    <m/>
    <n v="400"/>
    <n v="3025"/>
  </r>
  <r>
    <d v="2024-01-12T00:00:00"/>
    <n v="1"/>
    <x v="0"/>
    <m/>
    <x v="4"/>
    <m/>
    <n v="300"/>
    <n v="2725"/>
  </r>
  <r>
    <d v="2024-01-15T00:00:00"/>
    <n v="1"/>
    <x v="0"/>
    <m/>
    <x v="5"/>
    <m/>
    <n v="200"/>
    <n v="2525"/>
  </r>
  <r>
    <d v="2024-01-19T00:00:00"/>
    <n v="1"/>
    <x v="0"/>
    <m/>
    <x v="6"/>
    <m/>
    <n v="30"/>
    <n v="2495"/>
  </r>
  <r>
    <d v="2024-01-25T00:00:00"/>
    <n v="1"/>
    <x v="0"/>
    <m/>
    <x v="7"/>
    <m/>
    <n v="100"/>
    <n v="2395"/>
  </r>
  <r>
    <d v="2024-01-25T00:00:00"/>
    <n v="1"/>
    <x v="0"/>
    <m/>
    <x v="7"/>
    <m/>
    <n v="15"/>
    <n v="2380"/>
  </r>
  <r>
    <d v="2024-01-25T00:00:00"/>
    <n v="1"/>
    <x v="0"/>
    <m/>
    <x v="5"/>
    <m/>
    <n v="50"/>
    <n v="2330"/>
  </r>
  <r>
    <d v="2024-01-26T00:00:00"/>
    <n v="1"/>
    <x v="0"/>
    <m/>
    <x v="6"/>
    <m/>
    <n v="15"/>
    <n v="2315"/>
  </r>
  <r>
    <d v="2024-01-27T00:00:00"/>
    <n v="1"/>
    <x v="0"/>
    <m/>
    <x v="3"/>
    <m/>
    <n v="20"/>
    <n v="2295"/>
  </r>
  <r>
    <d v="2024-01-27T00:00:00"/>
    <n v="1"/>
    <x v="0"/>
    <m/>
    <x v="4"/>
    <m/>
    <n v="40"/>
    <n v="2255"/>
  </r>
  <r>
    <d v="2024-01-27T00:00:00"/>
    <n v="1"/>
    <x v="0"/>
    <m/>
    <x v="6"/>
    <m/>
    <n v="15"/>
    <n v="2240"/>
  </r>
  <r>
    <d v="2024-01-28T00:00:00"/>
    <n v="1"/>
    <x v="0"/>
    <m/>
    <x v="8"/>
    <m/>
    <n v="45"/>
    <n v="2195"/>
  </r>
  <r>
    <d v="2024-01-28T00:00:00"/>
    <n v="1"/>
    <x v="0"/>
    <m/>
    <x v="9"/>
    <m/>
    <n v="80"/>
    <n v="2115"/>
  </r>
  <r>
    <d v="2024-01-28T00:00:00"/>
    <n v="1"/>
    <x v="0"/>
    <m/>
    <x v="5"/>
    <m/>
    <n v="90"/>
    <n v="2025"/>
  </r>
  <r>
    <d v="2024-01-29T00:00:00"/>
    <n v="1"/>
    <x v="0"/>
    <m/>
    <x v="10"/>
    <n v="3000"/>
    <m/>
    <n v="5025"/>
  </r>
  <r>
    <d v="2024-02-02T00:00:00"/>
    <n v="2"/>
    <x v="0"/>
    <m/>
    <x v="11"/>
    <m/>
    <m/>
    <n v="5025"/>
  </r>
  <r>
    <d v="2024-02-03T00:00:00"/>
    <n v="2"/>
    <x v="0"/>
    <m/>
    <x v="11"/>
    <m/>
    <m/>
    <n v="5025"/>
  </r>
  <r>
    <d v="2024-02-03T00:00:00"/>
    <n v="2"/>
    <x v="0"/>
    <m/>
    <x v="11"/>
    <m/>
    <m/>
    <n v="5025"/>
  </r>
  <r>
    <d v="2024-02-03T00:00:00"/>
    <n v="2"/>
    <x v="0"/>
    <m/>
    <x v="11"/>
    <m/>
    <m/>
    <n v="5025"/>
  </r>
  <r>
    <d v="2024-02-05T00:00:00"/>
    <n v="2"/>
    <x v="0"/>
    <m/>
    <x v="11"/>
    <m/>
    <m/>
    <n v="5025"/>
  </r>
  <r>
    <d v="2024-02-05T00:00:00"/>
    <n v="2"/>
    <x v="0"/>
    <m/>
    <x v="11"/>
    <m/>
    <m/>
    <n v="5025"/>
  </r>
  <r>
    <d v="2024-02-07T00:00:00"/>
    <n v="2"/>
    <x v="0"/>
    <m/>
    <x v="11"/>
    <m/>
    <m/>
    <n v="5025"/>
  </r>
  <r>
    <d v="2024-02-07T00:00:00"/>
    <n v="2"/>
    <x v="0"/>
    <m/>
    <x v="11"/>
    <m/>
    <m/>
    <n v="5025"/>
  </r>
  <r>
    <d v="2024-02-08T00:00:00"/>
    <n v="2"/>
    <x v="0"/>
    <m/>
    <x v="11"/>
    <m/>
    <m/>
    <n v="5025"/>
  </r>
  <r>
    <d v="2024-02-10T00:00:00"/>
    <n v="2"/>
    <x v="0"/>
    <m/>
    <x v="11"/>
    <m/>
    <m/>
    <n v="5025"/>
  </r>
  <r>
    <d v="2024-02-12T00:00:00"/>
    <n v="2"/>
    <x v="0"/>
    <m/>
    <x v="11"/>
    <m/>
    <m/>
    <n v="5025"/>
  </r>
  <r>
    <d v="2024-02-14T00:00:00"/>
    <n v="2"/>
    <x v="0"/>
    <m/>
    <x v="11"/>
    <m/>
    <m/>
    <n v="5025"/>
  </r>
  <r>
    <d v="2024-02-15T00:00:00"/>
    <n v="2"/>
    <x v="0"/>
    <m/>
    <x v="11"/>
    <m/>
    <m/>
    <n v="5025"/>
  </r>
  <r>
    <d v="2024-02-16T00:00:00"/>
    <n v="2"/>
    <x v="0"/>
    <m/>
    <x v="11"/>
    <m/>
    <m/>
    <n v="5025"/>
  </r>
  <r>
    <d v="2024-02-17T00:00:00"/>
    <n v="2"/>
    <x v="0"/>
    <m/>
    <x v="11"/>
    <m/>
    <m/>
    <n v="5025"/>
  </r>
  <r>
    <d v="2024-02-17T00:00:00"/>
    <n v="2"/>
    <x v="0"/>
    <m/>
    <x v="11"/>
    <m/>
    <m/>
    <n v="5025"/>
  </r>
  <r>
    <d v="2024-02-18T00:00:00"/>
    <n v="2"/>
    <x v="0"/>
    <m/>
    <x v="11"/>
    <m/>
    <m/>
    <n v="5025"/>
  </r>
  <r>
    <d v="2024-02-18T00:00:00"/>
    <n v="2"/>
    <x v="0"/>
    <m/>
    <x v="11"/>
    <m/>
    <m/>
    <n v="5025"/>
  </r>
  <r>
    <d v="2024-02-19T00:00:00"/>
    <n v="2"/>
    <x v="0"/>
    <m/>
    <x v="11"/>
    <m/>
    <m/>
    <n v="5025"/>
  </r>
  <r>
    <d v="2024-02-22T00:00:00"/>
    <n v="2"/>
    <x v="0"/>
    <m/>
    <x v="11"/>
    <m/>
    <m/>
    <n v="5025"/>
  </r>
  <r>
    <d v="2024-02-22T00:00:00"/>
    <n v="2"/>
    <x v="0"/>
    <m/>
    <x v="11"/>
    <m/>
    <m/>
    <n v="5025"/>
  </r>
  <r>
    <d v="2024-02-23T00:00:00"/>
    <n v="2"/>
    <x v="0"/>
    <m/>
    <x v="11"/>
    <m/>
    <m/>
    <n v="5025"/>
  </r>
  <r>
    <d v="2024-02-23T00:00:00"/>
    <n v="2"/>
    <x v="0"/>
    <m/>
    <x v="11"/>
    <m/>
    <m/>
    <n v="5025"/>
  </r>
  <r>
    <d v="2024-02-24T00:00:00"/>
    <n v="2"/>
    <x v="0"/>
    <m/>
    <x v="11"/>
    <m/>
    <m/>
    <n v="5025"/>
  </r>
  <r>
    <d v="2024-02-24T00:00:00"/>
    <n v="2"/>
    <x v="0"/>
    <m/>
    <x v="11"/>
    <m/>
    <m/>
    <n v="5025"/>
  </r>
  <r>
    <d v="2024-02-25T00:00:00"/>
    <n v="2"/>
    <x v="0"/>
    <m/>
    <x v="11"/>
    <m/>
    <m/>
    <n v="5025"/>
  </r>
  <r>
    <d v="2024-02-26T00:00:00"/>
    <n v="2"/>
    <x v="0"/>
    <m/>
    <x v="11"/>
    <m/>
    <m/>
    <n v="5025"/>
  </r>
  <r>
    <d v="2024-02-26T00:00:00"/>
    <n v="2"/>
    <x v="0"/>
    <m/>
    <x v="11"/>
    <m/>
    <m/>
    <n v="5025"/>
  </r>
  <r>
    <d v="2024-02-26T00:00:00"/>
    <n v="2"/>
    <x v="0"/>
    <m/>
    <x v="11"/>
    <m/>
    <m/>
    <n v="5025"/>
  </r>
  <r>
    <d v="2024-02-26T00:00:00"/>
    <n v="2"/>
    <x v="0"/>
    <m/>
    <x v="11"/>
    <m/>
    <m/>
    <n v="5025"/>
  </r>
  <r>
    <d v="2024-02-26T00:00:00"/>
    <n v="2"/>
    <x v="0"/>
    <m/>
    <x v="11"/>
    <m/>
    <m/>
    <n v="5025"/>
  </r>
  <r>
    <d v="2024-02-27T00:00:00"/>
    <n v="2"/>
    <x v="0"/>
    <m/>
    <x v="11"/>
    <m/>
    <m/>
    <n v="5025"/>
  </r>
  <r>
    <d v="2024-02-28T00:00:00"/>
    <n v="2"/>
    <x v="0"/>
    <m/>
    <x v="11"/>
    <m/>
    <m/>
    <n v="5025"/>
  </r>
  <r>
    <d v="2024-02-28T00:00:00"/>
    <n v="2"/>
    <x v="0"/>
    <m/>
    <x v="11"/>
    <m/>
    <m/>
    <n v="5025"/>
  </r>
  <r>
    <d v="2024-03-01T00:00:00"/>
    <n v="3"/>
    <x v="0"/>
    <m/>
    <x v="11"/>
    <m/>
    <m/>
    <n v="5025"/>
  </r>
  <r>
    <d v="2024-03-02T00:00:00"/>
    <n v="3"/>
    <x v="0"/>
    <m/>
    <x v="11"/>
    <m/>
    <m/>
    <n v="5025"/>
  </r>
  <r>
    <d v="2024-03-04T00:00:00"/>
    <n v="3"/>
    <x v="0"/>
    <m/>
    <x v="11"/>
    <m/>
    <m/>
    <n v="5025"/>
  </r>
  <r>
    <d v="2024-03-04T00:00:00"/>
    <n v="3"/>
    <x v="0"/>
    <m/>
    <x v="11"/>
    <m/>
    <m/>
    <n v="5025"/>
  </r>
  <r>
    <d v="2024-03-08T00:00:00"/>
    <n v="3"/>
    <x v="0"/>
    <m/>
    <x v="11"/>
    <m/>
    <m/>
    <n v="5025"/>
  </r>
  <r>
    <d v="2024-03-09T00:00:00"/>
    <n v="3"/>
    <x v="0"/>
    <m/>
    <x v="11"/>
    <m/>
    <m/>
    <n v="5025"/>
  </r>
  <r>
    <d v="2024-03-09T00:00:00"/>
    <n v="3"/>
    <x v="0"/>
    <m/>
    <x v="11"/>
    <m/>
    <m/>
    <n v="5025"/>
  </r>
  <r>
    <d v="2024-03-10T00:00:00"/>
    <n v="3"/>
    <x v="0"/>
    <m/>
    <x v="11"/>
    <m/>
    <m/>
    <n v="5025"/>
  </r>
  <r>
    <d v="2024-03-11T00:00:00"/>
    <n v="3"/>
    <x v="0"/>
    <m/>
    <x v="11"/>
    <m/>
    <m/>
    <n v="5025"/>
  </r>
  <r>
    <d v="2024-03-11T00:00:00"/>
    <n v="3"/>
    <x v="0"/>
    <m/>
    <x v="11"/>
    <m/>
    <m/>
    <n v="5025"/>
  </r>
  <r>
    <d v="2024-03-12T00:00:00"/>
    <n v="3"/>
    <x v="0"/>
    <m/>
    <x v="11"/>
    <m/>
    <m/>
    <n v="5025"/>
  </r>
  <r>
    <d v="2024-03-14T00:00:00"/>
    <n v="3"/>
    <x v="0"/>
    <m/>
    <x v="11"/>
    <m/>
    <m/>
    <n v="5025"/>
  </r>
  <r>
    <d v="2024-03-15T00:00:00"/>
    <n v="3"/>
    <x v="0"/>
    <m/>
    <x v="11"/>
    <m/>
    <m/>
    <n v="5025"/>
  </r>
  <r>
    <d v="2024-03-16T00:00:00"/>
    <n v="3"/>
    <x v="0"/>
    <m/>
    <x v="11"/>
    <m/>
    <m/>
    <n v="5025"/>
  </r>
  <r>
    <d v="2024-03-17T00:00:00"/>
    <n v="3"/>
    <x v="0"/>
    <m/>
    <x v="11"/>
    <m/>
    <m/>
    <n v="5025"/>
  </r>
  <r>
    <d v="2024-03-20T00:00:00"/>
    <n v="3"/>
    <x v="0"/>
    <m/>
    <x v="11"/>
    <m/>
    <m/>
    <n v="5025"/>
  </r>
  <r>
    <d v="2024-03-22T00:00:00"/>
    <n v="3"/>
    <x v="0"/>
    <m/>
    <x v="11"/>
    <m/>
    <m/>
    <n v="5025"/>
  </r>
  <r>
    <d v="2024-03-24T00:00:00"/>
    <n v="3"/>
    <x v="0"/>
    <m/>
    <x v="11"/>
    <m/>
    <m/>
    <n v="5025"/>
  </r>
  <r>
    <d v="2024-03-25T00:00:00"/>
    <n v="3"/>
    <x v="0"/>
    <m/>
    <x v="11"/>
    <m/>
    <m/>
    <n v="5025"/>
  </r>
  <r>
    <d v="2024-03-25T00:00:00"/>
    <n v="3"/>
    <x v="0"/>
    <m/>
    <x v="11"/>
    <m/>
    <m/>
    <n v="5025"/>
  </r>
  <r>
    <d v="2024-03-27T00:00:00"/>
    <n v="3"/>
    <x v="0"/>
    <m/>
    <x v="11"/>
    <m/>
    <m/>
    <n v="5025"/>
  </r>
  <r>
    <d v="2024-03-27T00:00:00"/>
    <n v="3"/>
    <x v="0"/>
    <m/>
    <x v="11"/>
    <m/>
    <m/>
    <n v="5025"/>
  </r>
  <r>
    <d v="2024-03-30T00:00:00"/>
    <n v="3"/>
    <x v="0"/>
    <m/>
    <x v="11"/>
    <m/>
    <m/>
    <n v="5025"/>
  </r>
  <r>
    <d v="2024-03-30T00:00:00"/>
    <n v="3"/>
    <x v="0"/>
    <m/>
    <x v="11"/>
    <m/>
    <m/>
    <n v="5025"/>
  </r>
  <r>
    <d v="2024-04-01T00:00:00"/>
    <n v="4"/>
    <x v="0"/>
    <m/>
    <x v="11"/>
    <m/>
    <m/>
    <n v="5025"/>
  </r>
  <r>
    <d v="2024-04-02T00:00:00"/>
    <n v="4"/>
    <x v="0"/>
    <m/>
    <x v="11"/>
    <m/>
    <m/>
    <n v="5025"/>
  </r>
  <r>
    <d v="2024-04-06T00:00:00"/>
    <n v="4"/>
    <x v="0"/>
    <m/>
    <x v="11"/>
    <m/>
    <m/>
    <n v="5025"/>
  </r>
  <r>
    <d v="2024-04-06T00:00:00"/>
    <n v="4"/>
    <x v="0"/>
    <m/>
    <x v="11"/>
    <m/>
    <m/>
    <n v="5025"/>
  </r>
  <r>
    <d v="2024-04-06T00:00:00"/>
    <n v="4"/>
    <x v="0"/>
    <m/>
    <x v="11"/>
    <m/>
    <m/>
    <n v="5025"/>
  </r>
  <r>
    <d v="2024-04-07T00:00:00"/>
    <n v="4"/>
    <x v="0"/>
    <m/>
    <x v="11"/>
    <m/>
    <m/>
    <n v="5025"/>
  </r>
  <r>
    <d v="2024-04-09T00:00:00"/>
    <n v="4"/>
    <x v="0"/>
    <m/>
    <x v="11"/>
    <m/>
    <m/>
    <n v="5025"/>
  </r>
  <r>
    <d v="2024-04-13T00:00:00"/>
    <n v="4"/>
    <x v="0"/>
    <m/>
    <x v="11"/>
    <m/>
    <m/>
    <n v="5025"/>
  </r>
  <r>
    <d v="2024-04-13T00:00:00"/>
    <n v="4"/>
    <x v="0"/>
    <m/>
    <x v="11"/>
    <m/>
    <m/>
    <n v="5025"/>
  </r>
  <r>
    <d v="2024-04-15T00:00:00"/>
    <n v="4"/>
    <x v="0"/>
    <m/>
    <x v="11"/>
    <m/>
    <m/>
    <n v="5025"/>
  </r>
  <r>
    <d v="2024-04-19T00:00:00"/>
    <n v="4"/>
    <x v="0"/>
    <m/>
    <x v="11"/>
    <m/>
    <m/>
    <n v="5025"/>
  </r>
  <r>
    <d v="2024-04-21T00:00:00"/>
    <n v="4"/>
    <x v="0"/>
    <m/>
    <x v="11"/>
    <m/>
    <m/>
    <n v="5025"/>
  </r>
  <r>
    <d v="2024-04-22T00:00:00"/>
    <n v="4"/>
    <x v="0"/>
    <m/>
    <x v="11"/>
    <m/>
    <m/>
    <n v="5025"/>
  </r>
  <r>
    <d v="2024-04-22T00:00:00"/>
    <n v="4"/>
    <x v="0"/>
    <m/>
    <x v="11"/>
    <m/>
    <m/>
    <n v="5025"/>
  </r>
  <r>
    <d v="2024-04-22T00:00:00"/>
    <n v="4"/>
    <x v="0"/>
    <m/>
    <x v="11"/>
    <m/>
    <m/>
    <n v="5025"/>
  </r>
  <r>
    <d v="2024-04-25T00:00:00"/>
    <n v="4"/>
    <x v="0"/>
    <m/>
    <x v="11"/>
    <m/>
    <m/>
    <n v="5025"/>
  </r>
  <r>
    <d v="2024-04-26T00:00:00"/>
    <n v="4"/>
    <x v="0"/>
    <m/>
    <x v="11"/>
    <m/>
    <m/>
    <n v="5025"/>
  </r>
  <r>
    <d v="2024-04-27T00:00:00"/>
    <n v="4"/>
    <x v="0"/>
    <m/>
    <x v="11"/>
    <m/>
    <m/>
    <n v="5025"/>
  </r>
  <r>
    <d v="2024-04-27T00:00:00"/>
    <n v="4"/>
    <x v="0"/>
    <m/>
    <x v="11"/>
    <m/>
    <m/>
    <n v="5025"/>
  </r>
  <r>
    <d v="2024-04-27T00:00:00"/>
    <n v="4"/>
    <x v="0"/>
    <m/>
    <x v="11"/>
    <m/>
    <m/>
    <n v="5025"/>
  </r>
  <r>
    <d v="2024-04-27T00:00:00"/>
    <n v="4"/>
    <x v="0"/>
    <m/>
    <x v="11"/>
    <m/>
    <m/>
    <n v="5025"/>
  </r>
  <r>
    <d v="2024-04-27T00:00:00"/>
    <n v="4"/>
    <x v="0"/>
    <m/>
    <x v="11"/>
    <m/>
    <m/>
    <n v="5025"/>
  </r>
  <r>
    <d v="2024-04-27T00:00:00"/>
    <n v="4"/>
    <x v="0"/>
    <m/>
    <x v="11"/>
    <m/>
    <m/>
    <n v="5025"/>
  </r>
  <r>
    <d v="2024-04-28T00:00:00"/>
    <n v="4"/>
    <x v="0"/>
    <m/>
    <x v="11"/>
    <m/>
    <m/>
    <n v="5025"/>
  </r>
  <r>
    <d v="2024-04-28T00:00:00"/>
    <n v="4"/>
    <x v="0"/>
    <m/>
    <x v="11"/>
    <m/>
    <m/>
    <n v="5025"/>
  </r>
  <r>
    <d v="2024-04-29T00:00:00"/>
    <n v="4"/>
    <x v="0"/>
    <m/>
    <x v="11"/>
    <m/>
    <m/>
    <n v="5025"/>
  </r>
  <r>
    <d v="2024-05-03T00:00:00"/>
    <n v="5"/>
    <x v="0"/>
    <m/>
    <x v="11"/>
    <m/>
    <m/>
    <n v="5025"/>
  </r>
  <r>
    <d v="2024-05-05T00:00:00"/>
    <n v="5"/>
    <x v="0"/>
    <m/>
    <x v="11"/>
    <m/>
    <m/>
    <n v="5025"/>
  </r>
  <r>
    <d v="2024-05-06T00:00:00"/>
    <n v="5"/>
    <x v="0"/>
    <m/>
    <x v="11"/>
    <m/>
    <m/>
    <n v="5025"/>
  </r>
  <r>
    <d v="2024-05-07T00:00:00"/>
    <n v="5"/>
    <x v="0"/>
    <m/>
    <x v="11"/>
    <m/>
    <m/>
    <n v="5025"/>
  </r>
  <r>
    <d v="2024-05-07T00:00:00"/>
    <n v="5"/>
    <x v="0"/>
    <m/>
    <x v="11"/>
    <m/>
    <m/>
    <n v="5025"/>
  </r>
  <r>
    <d v="2024-05-07T00:00:00"/>
    <n v="5"/>
    <x v="0"/>
    <m/>
    <x v="11"/>
    <m/>
    <m/>
    <n v="5025"/>
  </r>
  <r>
    <d v="2024-05-10T00:00:00"/>
    <n v="5"/>
    <x v="0"/>
    <m/>
    <x v="11"/>
    <m/>
    <m/>
    <n v="5025"/>
  </r>
  <r>
    <d v="2024-05-13T00:00:00"/>
    <n v="5"/>
    <x v="0"/>
    <m/>
    <x v="11"/>
    <m/>
    <m/>
    <n v="5025"/>
  </r>
  <r>
    <d v="2024-05-13T00:00:00"/>
    <n v="5"/>
    <x v="0"/>
    <m/>
    <x v="11"/>
    <m/>
    <m/>
    <n v="5025"/>
  </r>
  <r>
    <d v="2024-05-15T00:00:00"/>
    <n v="5"/>
    <x v="0"/>
    <m/>
    <x v="11"/>
    <m/>
    <m/>
    <n v="5025"/>
  </r>
  <r>
    <d v="2024-05-16T00:00:00"/>
    <n v="5"/>
    <x v="0"/>
    <m/>
    <x v="11"/>
    <m/>
    <m/>
    <n v="5025"/>
  </r>
  <r>
    <d v="2024-05-16T00:00:00"/>
    <n v="5"/>
    <x v="0"/>
    <m/>
    <x v="11"/>
    <m/>
    <m/>
    <n v="5025"/>
  </r>
  <r>
    <d v="2024-05-20T00:00:00"/>
    <n v="5"/>
    <x v="0"/>
    <m/>
    <x v="11"/>
    <m/>
    <m/>
    <n v="5025"/>
  </r>
  <r>
    <d v="2024-05-22T00:00:00"/>
    <n v="5"/>
    <x v="0"/>
    <m/>
    <x v="11"/>
    <m/>
    <m/>
    <n v="5025"/>
  </r>
  <r>
    <d v="2024-05-24T00:00:00"/>
    <n v="5"/>
    <x v="0"/>
    <m/>
    <x v="11"/>
    <m/>
    <m/>
    <n v="5025"/>
  </r>
  <r>
    <d v="2024-05-24T00:00:00"/>
    <n v="5"/>
    <x v="0"/>
    <m/>
    <x v="11"/>
    <m/>
    <m/>
    <n v="5025"/>
  </r>
  <r>
    <d v="2024-05-25T00:00:00"/>
    <n v="5"/>
    <x v="0"/>
    <m/>
    <x v="11"/>
    <m/>
    <m/>
    <n v="5025"/>
  </r>
  <r>
    <d v="2024-05-25T00:00:00"/>
    <n v="5"/>
    <x v="0"/>
    <m/>
    <x v="11"/>
    <m/>
    <m/>
    <n v="5025"/>
  </r>
  <r>
    <d v="2024-05-26T00:00:00"/>
    <n v="5"/>
    <x v="0"/>
    <m/>
    <x v="11"/>
    <m/>
    <m/>
    <n v="5025"/>
  </r>
  <r>
    <d v="2024-05-26T00:00:00"/>
    <n v="5"/>
    <x v="0"/>
    <m/>
    <x v="11"/>
    <m/>
    <m/>
    <n v="5025"/>
  </r>
  <r>
    <d v="2024-05-26T00:00:00"/>
    <n v="5"/>
    <x v="0"/>
    <m/>
    <x v="11"/>
    <m/>
    <m/>
    <n v="5025"/>
  </r>
  <r>
    <d v="2024-05-26T00:00:00"/>
    <n v="5"/>
    <x v="0"/>
    <m/>
    <x v="11"/>
    <m/>
    <m/>
    <n v="5025"/>
  </r>
  <r>
    <d v="2024-05-27T00:00:00"/>
    <n v="5"/>
    <x v="0"/>
    <m/>
    <x v="11"/>
    <m/>
    <m/>
    <n v="5025"/>
  </r>
  <r>
    <d v="2024-05-28T00:00:00"/>
    <n v="5"/>
    <x v="0"/>
    <m/>
    <x v="11"/>
    <m/>
    <m/>
    <n v="5025"/>
  </r>
  <r>
    <d v="2024-05-31T00:00:00"/>
    <n v="5"/>
    <x v="0"/>
    <m/>
    <x v="11"/>
    <m/>
    <m/>
    <n v="5025"/>
  </r>
  <r>
    <d v="2024-06-07T00:00:00"/>
    <n v="6"/>
    <x v="0"/>
    <m/>
    <x v="11"/>
    <m/>
    <m/>
    <n v="5025"/>
  </r>
  <r>
    <d v="2024-06-07T00:00:00"/>
    <n v="6"/>
    <x v="0"/>
    <m/>
    <x v="11"/>
    <m/>
    <m/>
    <n v="5025"/>
  </r>
  <r>
    <d v="2024-06-08T00:00:00"/>
    <n v="6"/>
    <x v="0"/>
    <m/>
    <x v="11"/>
    <m/>
    <m/>
    <n v="5025"/>
  </r>
  <r>
    <d v="2024-06-09T00:00:00"/>
    <n v="6"/>
    <x v="0"/>
    <m/>
    <x v="11"/>
    <m/>
    <m/>
    <n v="5025"/>
  </r>
  <r>
    <d v="2024-06-10T00:00:00"/>
    <n v="6"/>
    <x v="0"/>
    <m/>
    <x v="11"/>
    <m/>
    <m/>
    <n v="5025"/>
  </r>
  <r>
    <d v="2024-06-11T00:00:00"/>
    <n v="6"/>
    <x v="0"/>
    <m/>
    <x v="11"/>
    <m/>
    <m/>
    <n v="5025"/>
  </r>
  <r>
    <d v="2024-06-13T00:00:00"/>
    <n v="6"/>
    <x v="0"/>
    <m/>
    <x v="11"/>
    <m/>
    <m/>
    <n v="5025"/>
  </r>
  <r>
    <d v="2024-06-13T00:00:00"/>
    <n v="6"/>
    <x v="0"/>
    <m/>
    <x v="11"/>
    <m/>
    <m/>
    <n v="5025"/>
  </r>
  <r>
    <d v="2024-06-14T00:00:00"/>
    <n v="6"/>
    <x v="0"/>
    <m/>
    <x v="11"/>
    <m/>
    <m/>
    <n v="5025"/>
  </r>
  <r>
    <d v="2024-06-17T00:00:00"/>
    <n v="6"/>
    <x v="0"/>
    <m/>
    <x v="11"/>
    <m/>
    <m/>
    <n v="5025"/>
  </r>
  <r>
    <d v="2024-06-22T00:00:00"/>
    <n v="6"/>
    <x v="0"/>
    <m/>
    <x v="11"/>
    <m/>
    <m/>
    <n v="5025"/>
  </r>
  <r>
    <d v="2024-06-24T00:00:00"/>
    <n v="6"/>
    <x v="0"/>
    <m/>
    <x v="11"/>
    <m/>
    <m/>
    <n v="5025"/>
  </r>
  <r>
    <d v="2024-06-25T00:00:00"/>
    <n v="6"/>
    <x v="0"/>
    <m/>
    <x v="11"/>
    <m/>
    <m/>
    <n v="5025"/>
  </r>
  <r>
    <d v="2024-06-26T00:00:00"/>
    <n v="6"/>
    <x v="0"/>
    <m/>
    <x v="11"/>
    <m/>
    <m/>
    <n v="5025"/>
  </r>
  <r>
    <d v="2024-06-27T00:00:00"/>
    <n v="6"/>
    <x v="0"/>
    <m/>
    <x v="11"/>
    <m/>
    <m/>
    <n v="5025"/>
  </r>
  <r>
    <d v="2024-06-27T00:00:00"/>
    <n v="6"/>
    <x v="0"/>
    <m/>
    <x v="11"/>
    <m/>
    <m/>
    <n v="5025"/>
  </r>
  <r>
    <d v="2024-06-28T00:00:00"/>
    <n v="6"/>
    <x v="0"/>
    <m/>
    <x v="11"/>
    <m/>
    <m/>
    <n v="5025"/>
  </r>
  <r>
    <d v="2024-06-29T00:00:00"/>
    <n v="6"/>
    <x v="0"/>
    <m/>
    <x v="11"/>
    <m/>
    <m/>
    <n v="5025"/>
  </r>
  <r>
    <d v="2024-06-30T00:00:00"/>
    <n v="6"/>
    <x v="0"/>
    <m/>
    <x v="11"/>
    <m/>
    <m/>
    <n v="5025"/>
  </r>
  <r>
    <d v="2024-06-30T00:00:00"/>
    <n v="6"/>
    <x v="0"/>
    <m/>
    <x v="11"/>
    <m/>
    <m/>
    <n v="5025"/>
  </r>
  <r>
    <d v="2024-06-30T00:00:00"/>
    <n v="6"/>
    <x v="0"/>
    <m/>
    <x v="11"/>
    <m/>
    <m/>
    <n v="5025"/>
  </r>
  <r>
    <d v="2024-07-02T00:00:00"/>
    <n v="7"/>
    <x v="0"/>
    <m/>
    <x v="11"/>
    <m/>
    <m/>
    <n v="5025"/>
  </r>
  <r>
    <d v="2024-07-03T00:00:00"/>
    <n v="7"/>
    <x v="0"/>
    <m/>
    <x v="11"/>
    <m/>
    <m/>
    <n v="5025"/>
  </r>
  <r>
    <d v="2024-07-04T00:00:00"/>
    <n v="7"/>
    <x v="0"/>
    <m/>
    <x v="11"/>
    <m/>
    <m/>
    <n v="5025"/>
  </r>
  <r>
    <d v="2024-07-05T00:00:00"/>
    <n v="7"/>
    <x v="0"/>
    <m/>
    <x v="11"/>
    <m/>
    <m/>
    <n v="5025"/>
  </r>
  <r>
    <d v="2024-07-06T00:00:00"/>
    <n v="7"/>
    <x v="0"/>
    <m/>
    <x v="11"/>
    <m/>
    <m/>
    <n v="5025"/>
  </r>
  <r>
    <d v="2024-07-06T00:00:00"/>
    <n v="7"/>
    <x v="0"/>
    <m/>
    <x v="11"/>
    <m/>
    <m/>
    <n v="5025"/>
  </r>
  <r>
    <d v="2024-07-06T00:00:00"/>
    <n v="7"/>
    <x v="0"/>
    <m/>
    <x v="11"/>
    <m/>
    <m/>
    <n v="5025"/>
  </r>
  <r>
    <d v="2024-07-08T00:00:00"/>
    <n v="7"/>
    <x v="0"/>
    <m/>
    <x v="11"/>
    <m/>
    <m/>
    <n v="5025"/>
  </r>
  <r>
    <d v="2024-07-10T00:00:00"/>
    <n v="7"/>
    <x v="0"/>
    <m/>
    <x v="11"/>
    <m/>
    <m/>
    <n v="5025"/>
  </r>
  <r>
    <d v="2024-07-12T00:00:00"/>
    <n v="7"/>
    <x v="0"/>
    <m/>
    <x v="11"/>
    <m/>
    <m/>
    <n v="5025"/>
  </r>
  <r>
    <d v="2024-07-14T00:00:00"/>
    <n v="7"/>
    <x v="0"/>
    <m/>
    <x v="11"/>
    <m/>
    <m/>
    <n v="5025"/>
  </r>
  <r>
    <d v="2024-07-14T00:00:00"/>
    <n v="7"/>
    <x v="0"/>
    <m/>
    <x v="11"/>
    <m/>
    <m/>
    <n v="5025"/>
  </r>
  <r>
    <d v="2024-07-14T00:00:00"/>
    <n v="7"/>
    <x v="0"/>
    <m/>
    <x v="11"/>
    <m/>
    <m/>
    <n v="5025"/>
  </r>
  <r>
    <d v="2024-07-15T00:00:00"/>
    <n v="7"/>
    <x v="0"/>
    <m/>
    <x v="11"/>
    <m/>
    <m/>
    <n v="5025"/>
  </r>
  <r>
    <d v="2024-07-15T00:00:00"/>
    <n v="7"/>
    <x v="0"/>
    <m/>
    <x v="11"/>
    <m/>
    <m/>
    <n v="5025"/>
  </r>
  <r>
    <d v="2024-07-18T00:00:00"/>
    <n v="7"/>
    <x v="0"/>
    <m/>
    <x v="11"/>
    <m/>
    <m/>
    <n v="5025"/>
  </r>
  <r>
    <d v="2024-07-18T00:00:00"/>
    <n v="7"/>
    <x v="0"/>
    <m/>
    <x v="11"/>
    <m/>
    <m/>
    <n v="5025"/>
  </r>
  <r>
    <d v="2024-07-19T00:00:00"/>
    <n v="7"/>
    <x v="0"/>
    <m/>
    <x v="11"/>
    <m/>
    <m/>
    <n v="5025"/>
  </r>
  <r>
    <d v="2024-07-19T00:00:00"/>
    <n v="7"/>
    <x v="0"/>
    <m/>
    <x v="11"/>
    <m/>
    <m/>
    <n v="5025"/>
  </r>
  <r>
    <d v="2024-07-19T00:00:00"/>
    <n v="7"/>
    <x v="0"/>
    <m/>
    <x v="11"/>
    <m/>
    <m/>
    <n v="5025"/>
  </r>
  <r>
    <d v="2024-07-22T00:00:00"/>
    <n v="7"/>
    <x v="0"/>
    <m/>
    <x v="11"/>
    <m/>
    <m/>
    <n v="5025"/>
  </r>
  <r>
    <d v="2024-07-22T00:00:00"/>
    <n v="7"/>
    <x v="0"/>
    <m/>
    <x v="11"/>
    <m/>
    <m/>
    <n v="5025"/>
  </r>
  <r>
    <d v="2024-07-24T00:00:00"/>
    <n v="7"/>
    <x v="0"/>
    <m/>
    <x v="11"/>
    <m/>
    <m/>
    <n v="5025"/>
  </r>
  <r>
    <d v="2024-07-24T00:00:00"/>
    <n v="7"/>
    <x v="0"/>
    <m/>
    <x v="11"/>
    <m/>
    <m/>
    <n v="5025"/>
  </r>
  <r>
    <d v="2024-07-25T00:00:00"/>
    <n v="7"/>
    <x v="0"/>
    <m/>
    <x v="11"/>
    <m/>
    <m/>
    <n v="5025"/>
  </r>
  <r>
    <d v="2024-07-26T00:00:00"/>
    <n v="7"/>
    <x v="0"/>
    <m/>
    <x v="11"/>
    <m/>
    <m/>
    <n v="5025"/>
  </r>
  <r>
    <d v="2024-07-26T00:00:00"/>
    <n v="7"/>
    <x v="0"/>
    <m/>
    <x v="11"/>
    <m/>
    <m/>
    <n v="5025"/>
  </r>
  <r>
    <d v="2024-07-26T00:00:00"/>
    <n v="7"/>
    <x v="0"/>
    <m/>
    <x v="11"/>
    <m/>
    <m/>
    <n v="5025"/>
  </r>
  <r>
    <d v="2024-07-29T00:00:00"/>
    <n v="7"/>
    <x v="0"/>
    <m/>
    <x v="11"/>
    <m/>
    <m/>
    <n v="5025"/>
  </r>
  <r>
    <d v="2024-07-29T00:00:00"/>
    <n v="7"/>
    <x v="0"/>
    <m/>
    <x v="11"/>
    <m/>
    <m/>
    <n v="5025"/>
  </r>
  <r>
    <d v="2024-07-30T00:00:00"/>
    <n v="7"/>
    <x v="0"/>
    <m/>
    <x v="11"/>
    <m/>
    <m/>
    <n v="5025"/>
  </r>
  <r>
    <d v="2024-07-30T00:00:00"/>
    <n v="7"/>
    <x v="0"/>
    <m/>
    <x v="11"/>
    <m/>
    <m/>
    <n v="5025"/>
  </r>
  <r>
    <d v="2024-07-30T00:00:00"/>
    <n v="7"/>
    <x v="0"/>
    <m/>
    <x v="11"/>
    <m/>
    <m/>
    <n v="5025"/>
  </r>
  <r>
    <d v="2024-07-30T00:00:00"/>
    <n v="7"/>
    <x v="0"/>
    <m/>
    <x v="11"/>
    <m/>
    <m/>
    <n v="5025"/>
  </r>
  <r>
    <d v="2024-07-30T00:00:00"/>
    <n v="7"/>
    <x v="0"/>
    <m/>
    <x v="11"/>
    <m/>
    <m/>
    <n v="5025"/>
  </r>
  <r>
    <d v="2024-07-31T00:00:00"/>
    <n v="7"/>
    <x v="0"/>
    <m/>
    <x v="11"/>
    <m/>
    <m/>
    <n v="5025"/>
  </r>
  <r>
    <d v="2024-07-31T00:00:00"/>
    <n v="7"/>
    <x v="0"/>
    <m/>
    <x v="11"/>
    <m/>
    <m/>
    <n v="5025"/>
  </r>
  <r>
    <d v="2024-07-31T00:00:00"/>
    <n v="7"/>
    <x v="0"/>
    <m/>
    <x v="11"/>
    <m/>
    <m/>
    <n v="5025"/>
  </r>
  <r>
    <d v="2024-08-01T00:00:00"/>
    <n v="8"/>
    <x v="0"/>
    <m/>
    <x v="11"/>
    <m/>
    <m/>
    <n v="5025"/>
  </r>
  <r>
    <d v="2024-08-02T00:00:00"/>
    <n v="8"/>
    <x v="0"/>
    <m/>
    <x v="11"/>
    <m/>
    <m/>
    <n v="5025"/>
  </r>
  <r>
    <d v="2024-08-05T00:00:00"/>
    <n v="8"/>
    <x v="0"/>
    <m/>
    <x v="11"/>
    <m/>
    <m/>
    <n v="5025"/>
  </r>
  <r>
    <d v="2024-08-05T00:00:00"/>
    <n v="8"/>
    <x v="0"/>
    <m/>
    <x v="11"/>
    <m/>
    <m/>
    <n v="5025"/>
  </r>
  <r>
    <d v="2024-08-05T00:00:00"/>
    <n v="8"/>
    <x v="0"/>
    <m/>
    <x v="11"/>
    <m/>
    <m/>
    <n v="5025"/>
  </r>
  <r>
    <d v="2024-08-05T00:00:00"/>
    <n v="8"/>
    <x v="0"/>
    <m/>
    <x v="11"/>
    <m/>
    <m/>
    <n v="5025"/>
  </r>
  <r>
    <d v="2024-08-05T00:00:00"/>
    <n v="8"/>
    <x v="0"/>
    <m/>
    <x v="11"/>
    <m/>
    <m/>
    <n v="5025"/>
  </r>
  <r>
    <d v="2024-08-05T00:00:00"/>
    <n v="8"/>
    <x v="0"/>
    <m/>
    <x v="11"/>
    <m/>
    <m/>
    <n v="5025"/>
  </r>
  <r>
    <d v="2024-08-07T00:00:00"/>
    <n v="8"/>
    <x v="0"/>
    <m/>
    <x v="11"/>
    <m/>
    <m/>
    <n v="5025"/>
  </r>
  <r>
    <d v="2024-08-09T00:00:00"/>
    <n v="8"/>
    <x v="0"/>
    <m/>
    <x v="11"/>
    <m/>
    <m/>
    <n v="5025"/>
  </r>
  <r>
    <d v="2024-08-11T00:00:00"/>
    <n v="8"/>
    <x v="0"/>
    <m/>
    <x v="11"/>
    <m/>
    <m/>
    <n v="5025"/>
  </r>
  <r>
    <d v="2024-08-11T00:00:00"/>
    <n v="8"/>
    <x v="0"/>
    <m/>
    <x v="11"/>
    <m/>
    <m/>
    <n v="5025"/>
  </r>
  <r>
    <d v="2024-08-11T00:00:00"/>
    <n v="8"/>
    <x v="0"/>
    <m/>
    <x v="11"/>
    <m/>
    <m/>
    <n v="5025"/>
  </r>
  <r>
    <d v="2024-08-11T00:00:00"/>
    <n v="8"/>
    <x v="0"/>
    <m/>
    <x v="11"/>
    <m/>
    <m/>
    <n v="5025"/>
  </r>
  <r>
    <d v="2024-08-11T00:00:00"/>
    <n v="8"/>
    <x v="0"/>
    <m/>
    <x v="11"/>
    <m/>
    <m/>
    <n v="5025"/>
  </r>
  <r>
    <d v="2024-08-12T00:00:00"/>
    <n v="8"/>
    <x v="0"/>
    <m/>
    <x v="11"/>
    <m/>
    <m/>
    <n v="5025"/>
  </r>
  <r>
    <d v="2024-08-13T00:00:00"/>
    <n v="8"/>
    <x v="0"/>
    <m/>
    <x v="11"/>
    <m/>
    <m/>
    <n v="5025"/>
  </r>
  <r>
    <d v="2024-08-13T00:00:00"/>
    <n v="8"/>
    <x v="0"/>
    <m/>
    <x v="11"/>
    <m/>
    <m/>
    <n v="5025"/>
  </r>
  <r>
    <d v="2024-08-15T00:00:00"/>
    <n v="8"/>
    <x v="0"/>
    <m/>
    <x v="11"/>
    <m/>
    <m/>
    <n v="5025"/>
  </r>
  <r>
    <d v="2024-08-15T00:00:00"/>
    <n v="8"/>
    <x v="0"/>
    <m/>
    <x v="11"/>
    <m/>
    <m/>
    <n v="5025"/>
  </r>
  <r>
    <d v="2024-08-15T00:00:00"/>
    <n v="8"/>
    <x v="0"/>
    <m/>
    <x v="11"/>
    <m/>
    <m/>
    <n v="5025"/>
  </r>
  <r>
    <d v="2024-08-16T00:00:00"/>
    <n v="8"/>
    <x v="0"/>
    <m/>
    <x v="11"/>
    <m/>
    <m/>
    <n v="5025"/>
  </r>
  <r>
    <d v="2024-08-16T00:00:00"/>
    <n v="8"/>
    <x v="0"/>
    <m/>
    <x v="11"/>
    <m/>
    <m/>
    <n v="5025"/>
  </r>
  <r>
    <d v="2024-08-16T00:00:00"/>
    <n v="8"/>
    <x v="0"/>
    <m/>
    <x v="11"/>
    <m/>
    <m/>
    <n v="5025"/>
  </r>
  <r>
    <d v="2024-08-16T00:00:00"/>
    <n v="8"/>
    <x v="0"/>
    <m/>
    <x v="11"/>
    <m/>
    <m/>
    <n v="5025"/>
  </r>
  <r>
    <d v="2024-08-16T00:00:00"/>
    <n v="8"/>
    <x v="0"/>
    <m/>
    <x v="11"/>
    <m/>
    <m/>
    <n v="5025"/>
  </r>
  <r>
    <d v="2024-08-17T00:00:00"/>
    <n v="8"/>
    <x v="0"/>
    <m/>
    <x v="11"/>
    <m/>
    <m/>
    <n v="5025"/>
  </r>
  <r>
    <d v="2024-08-17T00:00:00"/>
    <n v="8"/>
    <x v="0"/>
    <m/>
    <x v="11"/>
    <m/>
    <m/>
    <n v="5025"/>
  </r>
  <r>
    <d v="2024-08-19T00:00:00"/>
    <n v="8"/>
    <x v="0"/>
    <m/>
    <x v="11"/>
    <m/>
    <m/>
    <n v="5025"/>
  </r>
  <r>
    <d v="2024-08-23T00:00:00"/>
    <n v="8"/>
    <x v="0"/>
    <m/>
    <x v="11"/>
    <m/>
    <m/>
    <n v="5025"/>
  </r>
  <r>
    <d v="2024-08-23T00:00:00"/>
    <n v="8"/>
    <x v="0"/>
    <m/>
    <x v="11"/>
    <m/>
    <m/>
    <n v="5025"/>
  </r>
  <r>
    <d v="2024-08-23T00:00:00"/>
    <n v="8"/>
    <x v="0"/>
    <m/>
    <x v="11"/>
    <m/>
    <m/>
    <n v="5025"/>
  </r>
  <r>
    <d v="2024-08-27T00:00:00"/>
    <n v="8"/>
    <x v="0"/>
    <m/>
    <x v="11"/>
    <m/>
    <m/>
    <n v="5025"/>
  </r>
  <r>
    <d v="2024-08-28T00:00:00"/>
    <n v="8"/>
    <x v="0"/>
    <m/>
    <x v="11"/>
    <m/>
    <m/>
    <n v="5025"/>
  </r>
  <r>
    <d v="2024-08-29T00:00:00"/>
    <n v="8"/>
    <x v="0"/>
    <m/>
    <x v="11"/>
    <m/>
    <m/>
    <n v="5025"/>
  </r>
  <r>
    <d v="2024-08-30T00:00:00"/>
    <n v="8"/>
    <x v="0"/>
    <m/>
    <x v="11"/>
    <m/>
    <m/>
    <n v="5025"/>
  </r>
  <r>
    <d v="2024-08-30T00:00:00"/>
    <n v="8"/>
    <x v="0"/>
    <m/>
    <x v="11"/>
    <m/>
    <m/>
    <n v="5025"/>
  </r>
  <r>
    <d v="2024-08-30T00:00:00"/>
    <n v="8"/>
    <x v="0"/>
    <m/>
    <x v="11"/>
    <m/>
    <m/>
    <n v="5025"/>
  </r>
  <r>
    <d v="2024-08-31T00:00:00"/>
    <n v="8"/>
    <x v="0"/>
    <m/>
    <x v="11"/>
    <m/>
    <m/>
    <n v="5025"/>
  </r>
  <r>
    <d v="2024-09-03T00:00:00"/>
    <n v="9"/>
    <x v="0"/>
    <m/>
    <x v="11"/>
    <m/>
    <m/>
    <n v="5025"/>
  </r>
  <r>
    <d v="2024-09-05T00:00:00"/>
    <n v="9"/>
    <x v="0"/>
    <m/>
    <x v="11"/>
    <m/>
    <m/>
    <n v="5025"/>
  </r>
  <r>
    <d v="2024-09-05T00:00:00"/>
    <n v="9"/>
    <x v="0"/>
    <m/>
    <x v="11"/>
    <m/>
    <m/>
    <n v="5025"/>
  </r>
  <r>
    <d v="2024-09-09T00:00:00"/>
    <n v="9"/>
    <x v="0"/>
    <m/>
    <x v="11"/>
    <m/>
    <m/>
    <n v="5025"/>
  </r>
  <r>
    <d v="2024-09-09T00:00:00"/>
    <n v="9"/>
    <x v="0"/>
    <m/>
    <x v="11"/>
    <m/>
    <m/>
    <n v="5025"/>
  </r>
  <r>
    <d v="2024-09-13T00:00:00"/>
    <n v="9"/>
    <x v="0"/>
    <m/>
    <x v="11"/>
    <m/>
    <m/>
    <n v="5025"/>
  </r>
  <r>
    <d v="2024-09-13T00:00:00"/>
    <n v="9"/>
    <x v="0"/>
    <m/>
    <x v="11"/>
    <m/>
    <m/>
    <n v="5025"/>
  </r>
  <r>
    <d v="2024-09-13T00:00:00"/>
    <n v="9"/>
    <x v="0"/>
    <m/>
    <x v="11"/>
    <m/>
    <m/>
    <n v="5025"/>
  </r>
  <r>
    <d v="2024-09-13T00:00:00"/>
    <n v="9"/>
    <x v="0"/>
    <m/>
    <x v="11"/>
    <m/>
    <m/>
    <n v="5025"/>
  </r>
  <r>
    <d v="2024-09-14T00:00:00"/>
    <n v="9"/>
    <x v="0"/>
    <m/>
    <x v="11"/>
    <m/>
    <m/>
    <n v="5025"/>
  </r>
  <r>
    <d v="2024-09-14T00:00:00"/>
    <n v="9"/>
    <x v="0"/>
    <m/>
    <x v="11"/>
    <m/>
    <m/>
    <n v="5025"/>
  </r>
  <r>
    <d v="2024-09-20T00:00:00"/>
    <n v="9"/>
    <x v="0"/>
    <m/>
    <x v="11"/>
    <m/>
    <m/>
    <n v="5025"/>
  </r>
  <r>
    <d v="2024-09-20T00:00:00"/>
    <n v="9"/>
    <x v="0"/>
    <m/>
    <x v="11"/>
    <m/>
    <m/>
    <n v="5025"/>
  </r>
  <r>
    <d v="2024-09-21T00:00:00"/>
    <n v="9"/>
    <x v="0"/>
    <m/>
    <x v="11"/>
    <m/>
    <m/>
    <n v="5025"/>
  </r>
  <r>
    <d v="2024-09-23T00:00:00"/>
    <n v="9"/>
    <x v="0"/>
    <m/>
    <x v="11"/>
    <m/>
    <m/>
    <n v="5025"/>
  </r>
  <r>
    <d v="2024-09-23T00:00:00"/>
    <n v="9"/>
    <x v="0"/>
    <m/>
    <x v="11"/>
    <m/>
    <m/>
    <n v="5025"/>
  </r>
  <r>
    <d v="2024-09-25T00:00:00"/>
    <n v="9"/>
    <x v="0"/>
    <m/>
    <x v="11"/>
    <m/>
    <m/>
    <n v="5025"/>
  </r>
  <r>
    <d v="2024-09-26T00:00:00"/>
    <n v="9"/>
    <x v="0"/>
    <m/>
    <x v="11"/>
    <m/>
    <m/>
    <n v="5025"/>
  </r>
  <r>
    <d v="2024-09-28T00:00:00"/>
    <n v="9"/>
    <x v="0"/>
    <m/>
    <x v="11"/>
    <m/>
    <m/>
    <n v="5025"/>
  </r>
  <r>
    <d v="2024-09-28T00:00:00"/>
    <n v="9"/>
    <x v="0"/>
    <m/>
    <x v="11"/>
    <m/>
    <m/>
    <n v="5025"/>
  </r>
  <r>
    <d v="2024-09-29T00:00:00"/>
    <n v="9"/>
    <x v="0"/>
    <m/>
    <x v="11"/>
    <m/>
    <m/>
    <n v="5025"/>
  </r>
  <r>
    <d v="2024-09-29T00:00:00"/>
    <n v="9"/>
    <x v="0"/>
    <m/>
    <x v="11"/>
    <m/>
    <m/>
    <n v="5025"/>
  </r>
  <r>
    <d v="2024-09-29T00:00:00"/>
    <n v="9"/>
    <x v="0"/>
    <m/>
    <x v="11"/>
    <m/>
    <m/>
    <n v="5025"/>
  </r>
  <r>
    <d v="2024-09-29T00:00:00"/>
    <n v="9"/>
    <x v="0"/>
    <m/>
    <x v="11"/>
    <m/>
    <m/>
    <n v="5025"/>
  </r>
  <r>
    <d v="2024-09-30T00:00:00"/>
    <n v="9"/>
    <x v="0"/>
    <m/>
    <x v="11"/>
    <m/>
    <m/>
    <n v="5025"/>
  </r>
  <r>
    <d v="2024-09-30T00:00:00"/>
    <n v="9"/>
    <x v="0"/>
    <m/>
    <x v="11"/>
    <m/>
    <m/>
    <n v="5025"/>
  </r>
  <r>
    <d v="2024-09-30T00:00:00"/>
    <n v="9"/>
    <x v="0"/>
    <m/>
    <x v="11"/>
    <m/>
    <m/>
    <n v="5025"/>
  </r>
  <r>
    <d v="2024-09-30T00:00:00"/>
    <n v="9"/>
    <x v="0"/>
    <m/>
    <x v="11"/>
    <m/>
    <m/>
    <n v="5025"/>
  </r>
  <r>
    <d v="2024-10-04T00:00:00"/>
    <n v="10"/>
    <x v="0"/>
    <m/>
    <x v="11"/>
    <m/>
    <m/>
    <n v="5025"/>
  </r>
  <r>
    <d v="2024-10-04T00:00:00"/>
    <n v="10"/>
    <x v="0"/>
    <m/>
    <x v="11"/>
    <m/>
    <m/>
    <n v="5025"/>
  </r>
  <r>
    <d v="2024-10-07T00:00:00"/>
    <n v="10"/>
    <x v="0"/>
    <m/>
    <x v="11"/>
    <m/>
    <m/>
    <n v="5025"/>
  </r>
  <r>
    <d v="2024-10-07T00:00:00"/>
    <n v="10"/>
    <x v="0"/>
    <m/>
    <x v="11"/>
    <m/>
    <m/>
    <n v="5025"/>
  </r>
  <r>
    <d v="2024-10-10T00:00:00"/>
    <n v="10"/>
    <x v="0"/>
    <m/>
    <x v="11"/>
    <m/>
    <m/>
    <n v="5025"/>
  </r>
  <r>
    <d v="2024-10-11T00:00:00"/>
    <n v="10"/>
    <x v="0"/>
    <m/>
    <x v="11"/>
    <m/>
    <m/>
    <n v="5025"/>
  </r>
  <r>
    <d v="2024-10-11T00:00:00"/>
    <n v="10"/>
    <x v="0"/>
    <m/>
    <x v="11"/>
    <m/>
    <m/>
    <n v="5025"/>
  </r>
  <r>
    <d v="2024-10-11T00:00:00"/>
    <n v="10"/>
    <x v="0"/>
    <m/>
    <x v="11"/>
    <m/>
    <m/>
    <n v="5025"/>
  </r>
  <r>
    <d v="2024-10-12T00:00:00"/>
    <n v="10"/>
    <x v="0"/>
    <m/>
    <x v="11"/>
    <m/>
    <m/>
    <n v="5025"/>
  </r>
  <r>
    <d v="2024-10-14T00:00:00"/>
    <n v="10"/>
    <x v="0"/>
    <m/>
    <x v="11"/>
    <m/>
    <m/>
    <n v="5025"/>
  </r>
  <r>
    <d v="2024-10-14T00:00:00"/>
    <n v="10"/>
    <x v="0"/>
    <m/>
    <x v="11"/>
    <m/>
    <m/>
    <n v="5025"/>
  </r>
  <r>
    <d v="2024-10-15T00:00:00"/>
    <n v="10"/>
    <x v="0"/>
    <m/>
    <x v="11"/>
    <m/>
    <m/>
    <n v="5025"/>
  </r>
  <r>
    <d v="2024-10-21T00:00:00"/>
    <n v="10"/>
    <x v="0"/>
    <m/>
    <x v="11"/>
    <m/>
    <m/>
    <n v="5025"/>
  </r>
  <r>
    <d v="2024-10-21T00:00:00"/>
    <n v="10"/>
    <x v="0"/>
    <m/>
    <x v="11"/>
    <m/>
    <m/>
    <n v="5025"/>
  </r>
  <r>
    <d v="2024-10-21T00:00:00"/>
    <n v="10"/>
    <x v="0"/>
    <m/>
    <x v="11"/>
    <m/>
    <m/>
    <n v="5025"/>
  </r>
  <r>
    <d v="2024-10-21T00:00:00"/>
    <n v="10"/>
    <x v="0"/>
    <m/>
    <x v="11"/>
    <m/>
    <m/>
    <n v="5025"/>
  </r>
  <r>
    <d v="2024-10-21T00:00:00"/>
    <n v="10"/>
    <x v="0"/>
    <m/>
    <x v="11"/>
    <m/>
    <m/>
    <n v="5025"/>
  </r>
  <r>
    <d v="2024-10-21T00:00:00"/>
    <n v="10"/>
    <x v="0"/>
    <m/>
    <x v="11"/>
    <m/>
    <m/>
    <n v="5025"/>
  </r>
  <r>
    <d v="2024-10-22T00:00:00"/>
    <n v="10"/>
    <x v="0"/>
    <m/>
    <x v="11"/>
    <m/>
    <m/>
    <n v="5025"/>
  </r>
  <r>
    <d v="2024-10-22T00:00:00"/>
    <n v="10"/>
    <x v="0"/>
    <m/>
    <x v="11"/>
    <m/>
    <m/>
    <n v="5025"/>
  </r>
  <r>
    <d v="2024-10-22T00:00:00"/>
    <n v="10"/>
    <x v="0"/>
    <m/>
    <x v="11"/>
    <m/>
    <m/>
    <n v="5025"/>
  </r>
  <r>
    <d v="2024-10-22T00:00:00"/>
    <n v="10"/>
    <x v="0"/>
    <m/>
    <x v="11"/>
    <m/>
    <m/>
    <n v="5025"/>
  </r>
  <r>
    <d v="2024-10-22T00:00:00"/>
    <n v="10"/>
    <x v="0"/>
    <m/>
    <x v="11"/>
    <m/>
    <m/>
    <n v="5025"/>
  </r>
  <r>
    <d v="2024-10-23T00:00:00"/>
    <n v="10"/>
    <x v="0"/>
    <m/>
    <x v="11"/>
    <m/>
    <m/>
    <n v="5025"/>
  </r>
  <r>
    <d v="2024-10-23T00:00:00"/>
    <n v="10"/>
    <x v="0"/>
    <m/>
    <x v="11"/>
    <m/>
    <m/>
    <n v="5025"/>
  </r>
  <r>
    <d v="2024-10-24T00:00:00"/>
    <n v="10"/>
    <x v="0"/>
    <m/>
    <x v="11"/>
    <m/>
    <m/>
    <n v="5025"/>
  </r>
  <r>
    <d v="2024-10-24T00:00:00"/>
    <n v="10"/>
    <x v="0"/>
    <m/>
    <x v="11"/>
    <m/>
    <m/>
    <n v="5025"/>
  </r>
  <r>
    <d v="2024-10-24T00:00:00"/>
    <n v="10"/>
    <x v="0"/>
    <m/>
    <x v="11"/>
    <m/>
    <m/>
    <n v="5025"/>
  </r>
  <r>
    <d v="2024-10-24T00:00:00"/>
    <n v="10"/>
    <x v="0"/>
    <m/>
    <x v="11"/>
    <m/>
    <m/>
    <n v="5025"/>
  </r>
  <r>
    <d v="2024-10-25T00:00:00"/>
    <n v="10"/>
    <x v="0"/>
    <m/>
    <x v="11"/>
    <m/>
    <m/>
    <n v="5025"/>
  </r>
  <r>
    <d v="2024-10-25T00:00:00"/>
    <n v="10"/>
    <x v="0"/>
    <m/>
    <x v="11"/>
    <m/>
    <m/>
    <n v="5025"/>
  </r>
  <r>
    <d v="2024-10-25T00:00:00"/>
    <n v="10"/>
    <x v="0"/>
    <m/>
    <x v="11"/>
    <m/>
    <m/>
    <n v="5025"/>
  </r>
  <r>
    <d v="2024-10-25T00:00:00"/>
    <n v="10"/>
    <x v="0"/>
    <m/>
    <x v="11"/>
    <m/>
    <m/>
    <n v="5025"/>
  </r>
  <r>
    <d v="2024-10-25T00:00:00"/>
    <n v="10"/>
    <x v="0"/>
    <m/>
    <x v="11"/>
    <m/>
    <m/>
    <n v="5025"/>
  </r>
  <r>
    <d v="2024-10-26T00:00:00"/>
    <n v="10"/>
    <x v="0"/>
    <m/>
    <x v="11"/>
    <m/>
    <m/>
    <n v="5025"/>
  </r>
  <r>
    <d v="2024-10-27T00:00:00"/>
    <n v="10"/>
    <x v="0"/>
    <m/>
    <x v="11"/>
    <m/>
    <m/>
    <n v="5025"/>
  </r>
  <r>
    <d v="2024-10-28T00:00:00"/>
    <n v="10"/>
    <x v="0"/>
    <m/>
    <x v="11"/>
    <m/>
    <m/>
    <n v="5025"/>
  </r>
  <r>
    <d v="2024-10-28T00:00:00"/>
    <n v="10"/>
    <x v="0"/>
    <m/>
    <x v="11"/>
    <m/>
    <m/>
    <n v="5025"/>
  </r>
  <r>
    <d v="2024-10-28T00:00:00"/>
    <n v="10"/>
    <x v="0"/>
    <m/>
    <x v="11"/>
    <m/>
    <m/>
    <n v="5025"/>
  </r>
  <r>
    <d v="2024-10-29T00:00:00"/>
    <n v="10"/>
    <x v="0"/>
    <m/>
    <x v="11"/>
    <m/>
    <m/>
    <n v="5025"/>
  </r>
  <r>
    <d v="2024-10-31T00:00:00"/>
    <n v="10"/>
    <x v="0"/>
    <m/>
    <x v="11"/>
    <m/>
    <m/>
    <n v="5025"/>
  </r>
  <r>
    <d v="2024-11-01T00:00:00"/>
    <n v="11"/>
    <x v="0"/>
    <m/>
    <x v="11"/>
    <m/>
    <m/>
    <n v="5025"/>
  </r>
  <r>
    <d v="2024-11-01T00:00:00"/>
    <n v="11"/>
    <x v="0"/>
    <m/>
    <x v="11"/>
    <m/>
    <m/>
    <n v="5025"/>
  </r>
  <r>
    <d v="2024-11-05T00:00:00"/>
    <n v="11"/>
    <x v="0"/>
    <m/>
    <x v="11"/>
    <m/>
    <m/>
    <n v="5025"/>
  </r>
  <r>
    <d v="2024-11-07T00:00:00"/>
    <n v="11"/>
    <x v="0"/>
    <m/>
    <x v="11"/>
    <m/>
    <m/>
    <n v="5025"/>
  </r>
  <r>
    <d v="2024-11-08T00:00:00"/>
    <n v="11"/>
    <x v="0"/>
    <m/>
    <x v="11"/>
    <m/>
    <m/>
    <n v="5025"/>
  </r>
  <r>
    <d v="2024-11-11T00:00:00"/>
    <n v="11"/>
    <x v="0"/>
    <m/>
    <x v="11"/>
    <m/>
    <m/>
    <n v="5025"/>
  </r>
  <r>
    <d v="2024-12-12T00:00:00"/>
    <n v="12"/>
    <x v="0"/>
    <m/>
    <x v="11"/>
    <m/>
    <m/>
    <n v="5025"/>
  </r>
  <r>
    <d v="2024-12-12T00:00:00"/>
    <n v="12"/>
    <x v="0"/>
    <m/>
    <x v="11"/>
    <m/>
    <m/>
    <n v="5025"/>
  </r>
  <r>
    <d v="2024-11-16T00:00:00"/>
    <n v="11"/>
    <x v="0"/>
    <m/>
    <x v="11"/>
    <m/>
    <m/>
    <n v="5025"/>
  </r>
  <r>
    <d v="2024-11-18T00:00:00"/>
    <n v="11"/>
    <x v="0"/>
    <m/>
    <x v="11"/>
    <m/>
    <m/>
    <n v="5025"/>
  </r>
  <r>
    <d v="2024-11-18T00:00:00"/>
    <n v="11"/>
    <x v="0"/>
    <m/>
    <x v="11"/>
    <m/>
    <m/>
    <n v="5025"/>
  </r>
  <r>
    <d v="2024-11-18T00:00:00"/>
    <n v="11"/>
    <x v="0"/>
    <m/>
    <x v="11"/>
    <m/>
    <m/>
    <n v="5025"/>
  </r>
  <r>
    <d v="2024-11-21T00:00:00"/>
    <n v="11"/>
    <x v="0"/>
    <m/>
    <x v="11"/>
    <m/>
    <m/>
    <n v="5025"/>
  </r>
  <r>
    <d v="2024-11-22T00:00:00"/>
    <n v="11"/>
    <x v="0"/>
    <m/>
    <x v="11"/>
    <m/>
    <m/>
    <n v="5025"/>
  </r>
  <r>
    <d v="2024-11-23T00:00:00"/>
    <n v="11"/>
    <x v="0"/>
    <m/>
    <x v="11"/>
    <m/>
    <m/>
    <n v="5025"/>
  </r>
  <r>
    <d v="2024-11-24T00:00:00"/>
    <n v="11"/>
    <x v="0"/>
    <m/>
    <x v="11"/>
    <m/>
    <m/>
    <n v="5025"/>
  </r>
  <r>
    <d v="2024-11-25T00:00:00"/>
    <n v="11"/>
    <x v="0"/>
    <m/>
    <x v="11"/>
    <m/>
    <m/>
    <n v="5025"/>
  </r>
  <r>
    <d v="2024-11-27T00:00:00"/>
    <n v="11"/>
    <x v="0"/>
    <m/>
    <x v="11"/>
    <m/>
    <m/>
    <n v="5025"/>
  </r>
  <r>
    <d v="2024-11-28T00:00:00"/>
    <n v="11"/>
    <x v="0"/>
    <m/>
    <x v="11"/>
    <m/>
    <m/>
    <n v="5025"/>
  </r>
  <r>
    <d v="2024-11-28T00:00:00"/>
    <n v="11"/>
    <x v="0"/>
    <m/>
    <x v="11"/>
    <m/>
    <m/>
    <n v="5025"/>
  </r>
  <r>
    <d v="2024-11-29T00:00:00"/>
    <n v="11"/>
    <x v="0"/>
    <m/>
    <x v="11"/>
    <m/>
    <m/>
    <n v="5025"/>
  </r>
  <r>
    <d v="2024-11-29T00:00:00"/>
    <n v="11"/>
    <x v="0"/>
    <m/>
    <x v="11"/>
    <m/>
    <m/>
    <n v="5025"/>
  </r>
  <r>
    <d v="2024-11-30T00:00:00"/>
    <n v="11"/>
    <x v="0"/>
    <m/>
    <x v="11"/>
    <m/>
    <m/>
    <n v="5025"/>
  </r>
  <r>
    <d v="2024-12-01T00:00:00"/>
    <n v="12"/>
    <x v="0"/>
    <m/>
    <x v="11"/>
    <m/>
    <m/>
    <n v="5025"/>
  </r>
  <r>
    <d v="2024-12-01T00:00:00"/>
    <n v="12"/>
    <x v="0"/>
    <m/>
    <x v="11"/>
    <m/>
    <m/>
    <n v="5025"/>
  </r>
  <r>
    <d v="2024-12-02T00:00:00"/>
    <n v="12"/>
    <x v="0"/>
    <m/>
    <x v="11"/>
    <m/>
    <m/>
    <n v="5025"/>
  </r>
  <r>
    <d v="2024-12-02T00:00:00"/>
    <n v="12"/>
    <x v="0"/>
    <m/>
    <x v="11"/>
    <m/>
    <m/>
    <n v="5025"/>
  </r>
  <r>
    <d v="2024-12-02T00:00:00"/>
    <n v="12"/>
    <x v="0"/>
    <m/>
    <x v="11"/>
    <m/>
    <m/>
    <n v="5025"/>
  </r>
  <r>
    <d v="2024-12-03T00:00:00"/>
    <n v="12"/>
    <x v="0"/>
    <m/>
    <x v="11"/>
    <m/>
    <m/>
    <n v="5025"/>
  </r>
  <r>
    <d v="2024-12-04T00:00:00"/>
    <n v="12"/>
    <x v="0"/>
    <m/>
    <x v="11"/>
    <m/>
    <m/>
    <n v="5025"/>
  </r>
  <r>
    <d v="2024-12-06T00:00:00"/>
    <n v="12"/>
    <x v="0"/>
    <m/>
    <x v="11"/>
    <m/>
    <m/>
    <n v="5025"/>
  </r>
  <r>
    <d v="2024-12-06T00:00:00"/>
    <n v="12"/>
    <x v="0"/>
    <m/>
    <x v="11"/>
    <m/>
    <m/>
    <n v="5025"/>
  </r>
  <r>
    <d v="2024-12-07T00:00:00"/>
    <n v="12"/>
    <x v="0"/>
    <m/>
    <x v="11"/>
    <m/>
    <m/>
    <n v="5025"/>
  </r>
  <r>
    <d v="2024-12-07T00:00:00"/>
    <n v="12"/>
    <x v="0"/>
    <m/>
    <x v="11"/>
    <m/>
    <m/>
    <n v="5025"/>
  </r>
  <r>
    <d v="2024-12-08T00:00:00"/>
    <n v="12"/>
    <x v="0"/>
    <m/>
    <x v="11"/>
    <m/>
    <m/>
    <n v="5025"/>
  </r>
  <r>
    <d v="2024-12-08T00:00:00"/>
    <n v="12"/>
    <x v="0"/>
    <m/>
    <x v="11"/>
    <m/>
    <m/>
    <n v="5025"/>
  </r>
  <r>
    <d v="2024-12-09T00:00:00"/>
    <n v="12"/>
    <x v="0"/>
    <m/>
    <x v="11"/>
    <m/>
    <m/>
    <n v="5025"/>
  </r>
  <r>
    <d v="2024-12-11T00:00:00"/>
    <n v="12"/>
    <x v="0"/>
    <m/>
    <x v="11"/>
    <m/>
    <m/>
    <n v="5025"/>
  </r>
  <r>
    <d v="2024-12-12T00:00:00"/>
    <n v="12"/>
    <x v="0"/>
    <m/>
    <x v="11"/>
    <m/>
    <m/>
    <n v="5025"/>
  </r>
  <r>
    <d v="2024-12-12T00:00:00"/>
    <n v="12"/>
    <x v="0"/>
    <m/>
    <x v="11"/>
    <m/>
    <m/>
    <n v="5025"/>
  </r>
  <r>
    <d v="2024-12-12T00:00:00"/>
    <n v="12"/>
    <x v="0"/>
    <m/>
    <x v="11"/>
    <m/>
    <m/>
    <n v="5025"/>
  </r>
  <r>
    <d v="2024-12-13T00:00:00"/>
    <n v="12"/>
    <x v="0"/>
    <m/>
    <x v="11"/>
    <m/>
    <m/>
    <n v="5025"/>
  </r>
  <r>
    <d v="2024-12-13T00:00:00"/>
    <n v="12"/>
    <x v="0"/>
    <m/>
    <x v="11"/>
    <m/>
    <m/>
    <n v="5025"/>
  </r>
  <r>
    <d v="2024-12-13T00:00:00"/>
    <n v="12"/>
    <x v="0"/>
    <m/>
    <x v="11"/>
    <m/>
    <m/>
    <n v="5025"/>
  </r>
  <r>
    <d v="2024-12-14T00:00:00"/>
    <n v="12"/>
    <x v="0"/>
    <m/>
    <x v="11"/>
    <m/>
    <m/>
    <n v="5025"/>
  </r>
  <r>
    <d v="2024-12-15T00:00:00"/>
    <n v="12"/>
    <x v="0"/>
    <m/>
    <x v="11"/>
    <m/>
    <m/>
    <n v="5025"/>
  </r>
  <r>
    <d v="2024-12-15T00:00:00"/>
    <n v="12"/>
    <x v="0"/>
    <m/>
    <x v="11"/>
    <m/>
    <m/>
    <n v="5025"/>
  </r>
  <r>
    <d v="2024-12-16T00:00:00"/>
    <n v="12"/>
    <x v="0"/>
    <m/>
    <x v="11"/>
    <m/>
    <m/>
    <n v="5025"/>
  </r>
  <r>
    <d v="2024-12-17T00:00:00"/>
    <n v="12"/>
    <x v="0"/>
    <m/>
    <x v="11"/>
    <m/>
    <m/>
    <n v="5025"/>
  </r>
  <r>
    <d v="2024-12-17T00:00:00"/>
    <n v="12"/>
    <x v="0"/>
    <m/>
    <x v="11"/>
    <m/>
    <m/>
    <n v="5025"/>
  </r>
  <r>
    <d v="2024-12-18T00:00:00"/>
    <n v="12"/>
    <x v="0"/>
    <m/>
    <x v="11"/>
    <m/>
    <m/>
    <n v="5025"/>
  </r>
  <r>
    <d v="2024-12-19T00:00:00"/>
    <n v="12"/>
    <x v="0"/>
    <m/>
    <x v="11"/>
    <m/>
    <m/>
    <n v="5025"/>
  </r>
  <r>
    <d v="2024-12-20T00:00:00"/>
    <n v="12"/>
    <x v="0"/>
    <m/>
    <x v="11"/>
    <m/>
    <m/>
    <n v="5025"/>
  </r>
  <r>
    <d v="2024-12-23T00:00:00"/>
    <n v="12"/>
    <x v="0"/>
    <m/>
    <x v="11"/>
    <m/>
    <m/>
    <n v="5025"/>
  </r>
  <r>
    <d v="2024-12-23T00:00:00"/>
    <n v="12"/>
    <x v="0"/>
    <m/>
    <x v="11"/>
    <m/>
    <m/>
    <n v="5025"/>
  </r>
  <r>
    <d v="2024-12-23T00:00:00"/>
    <n v="12"/>
    <x v="0"/>
    <m/>
    <x v="11"/>
    <m/>
    <m/>
    <n v="5025"/>
  </r>
  <r>
    <d v="2024-12-24T00:00:00"/>
    <n v="12"/>
    <x v="0"/>
    <m/>
    <x v="11"/>
    <m/>
    <m/>
    <n v="5025"/>
  </r>
  <r>
    <d v="2025-01-01T00:00:00"/>
    <n v="1"/>
    <x v="1"/>
    <m/>
    <x v="11"/>
    <m/>
    <m/>
    <n v="5025"/>
  </r>
  <r>
    <d v="2025-01-02T00:00:00"/>
    <n v="1"/>
    <x v="1"/>
    <m/>
    <x v="11"/>
    <m/>
    <m/>
    <n v="5025"/>
  </r>
  <r>
    <d v="2025-01-03T00:00:00"/>
    <n v="1"/>
    <x v="1"/>
    <m/>
    <x v="11"/>
    <m/>
    <m/>
    <n v="5025"/>
  </r>
  <r>
    <d v="2025-01-04T00:00:00"/>
    <n v="1"/>
    <x v="1"/>
    <m/>
    <x v="11"/>
    <m/>
    <m/>
    <n v="5025"/>
  </r>
  <r>
    <d v="2025-01-05T00:00:00"/>
    <n v="1"/>
    <x v="1"/>
    <m/>
    <x v="11"/>
    <m/>
    <m/>
    <n v="5025"/>
  </r>
  <r>
    <d v="2025-01-06T00:00:00"/>
    <n v="1"/>
    <x v="1"/>
    <m/>
    <x v="11"/>
    <m/>
    <m/>
    <n v="5025"/>
  </r>
  <r>
    <d v="2025-01-07T00:00:00"/>
    <n v="1"/>
    <x v="1"/>
    <m/>
    <x v="11"/>
    <m/>
    <m/>
    <n v="5025"/>
  </r>
  <r>
    <d v="2025-01-08T00:00:00"/>
    <n v="1"/>
    <x v="1"/>
    <m/>
    <x v="11"/>
    <m/>
    <m/>
    <n v="5025"/>
  </r>
  <r>
    <d v="2025-01-09T00:00:00"/>
    <n v="1"/>
    <x v="1"/>
    <m/>
    <x v="11"/>
    <m/>
    <m/>
    <n v="5025"/>
  </r>
  <r>
    <d v="2025-01-10T00:00:00"/>
    <n v="1"/>
    <x v="1"/>
    <m/>
    <x v="11"/>
    <m/>
    <m/>
    <n v="5025"/>
  </r>
  <r>
    <d v="2025-01-11T00:00:00"/>
    <n v="1"/>
    <x v="1"/>
    <m/>
    <x v="11"/>
    <m/>
    <m/>
    <n v="5025"/>
  </r>
  <r>
    <d v="2025-01-12T00:00:00"/>
    <n v="1"/>
    <x v="1"/>
    <m/>
    <x v="11"/>
    <m/>
    <m/>
    <n v="5025"/>
  </r>
  <r>
    <d v="2025-01-13T00:00:00"/>
    <n v="1"/>
    <x v="1"/>
    <m/>
    <x v="11"/>
    <m/>
    <m/>
    <n v="5025"/>
  </r>
  <r>
    <d v="2025-01-14T00:00:00"/>
    <n v="1"/>
    <x v="1"/>
    <m/>
    <x v="11"/>
    <m/>
    <m/>
    <n v="5025"/>
  </r>
  <r>
    <d v="2025-01-15T00:00:00"/>
    <n v="1"/>
    <x v="1"/>
    <m/>
    <x v="11"/>
    <m/>
    <m/>
    <n v="5025"/>
  </r>
  <r>
    <d v="2025-01-16T00:00:00"/>
    <n v="1"/>
    <x v="1"/>
    <m/>
    <x v="11"/>
    <m/>
    <m/>
    <n v="5025"/>
  </r>
  <r>
    <d v="2025-01-17T00:00:00"/>
    <n v="1"/>
    <x v="1"/>
    <m/>
    <x v="11"/>
    <m/>
    <m/>
    <n v="5025"/>
  </r>
  <r>
    <d v="2025-01-18T00:00:00"/>
    <n v="1"/>
    <x v="1"/>
    <m/>
    <x v="11"/>
    <m/>
    <m/>
    <n v="5025"/>
  </r>
  <r>
    <d v="2025-01-19T00:00:00"/>
    <n v="1"/>
    <x v="1"/>
    <m/>
    <x v="11"/>
    <m/>
    <m/>
    <n v="5025"/>
  </r>
  <r>
    <d v="2025-01-20T00:00:00"/>
    <n v="1"/>
    <x v="1"/>
    <m/>
    <x v="11"/>
    <m/>
    <m/>
    <n v="5025"/>
  </r>
  <r>
    <d v="2025-01-21T00:00:00"/>
    <n v="1"/>
    <x v="1"/>
    <m/>
    <x v="11"/>
    <m/>
    <m/>
    <n v="5025"/>
  </r>
  <r>
    <d v="2025-01-22T00:00:00"/>
    <n v="1"/>
    <x v="1"/>
    <m/>
    <x v="11"/>
    <m/>
    <m/>
    <n v="5025"/>
  </r>
  <r>
    <d v="2025-01-23T00:00:00"/>
    <n v="1"/>
    <x v="1"/>
    <m/>
    <x v="11"/>
    <m/>
    <m/>
    <n v="5025"/>
  </r>
  <r>
    <d v="2025-01-24T00:00:00"/>
    <n v="1"/>
    <x v="1"/>
    <m/>
    <x v="11"/>
    <m/>
    <m/>
    <n v="5025"/>
  </r>
  <r>
    <d v="2025-01-25T00:00:00"/>
    <n v="1"/>
    <x v="1"/>
    <m/>
    <x v="11"/>
    <m/>
    <m/>
    <n v="5025"/>
  </r>
  <r>
    <d v="2025-01-26T00:00:00"/>
    <n v="1"/>
    <x v="1"/>
    <m/>
    <x v="11"/>
    <m/>
    <m/>
    <n v="5025"/>
  </r>
  <r>
    <d v="2025-01-27T00:00:00"/>
    <n v="1"/>
    <x v="1"/>
    <m/>
    <x v="11"/>
    <m/>
    <m/>
    <n v="5025"/>
  </r>
  <r>
    <d v="2025-01-28T00:00:00"/>
    <n v="1"/>
    <x v="1"/>
    <m/>
    <x v="11"/>
    <m/>
    <m/>
    <n v="5025"/>
  </r>
  <r>
    <d v="2025-01-29T00:00:00"/>
    <n v="1"/>
    <x v="1"/>
    <m/>
    <x v="11"/>
    <m/>
    <m/>
    <n v="5025"/>
  </r>
  <r>
    <d v="2025-01-30T00:00:00"/>
    <n v="1"/>
    <x v="1"/>
    <m/>
    <x v="11"/>
    <m/>
    <m/>
    <n v="5025"/>
  </r>
  <r>
    <d v="2025-01-31T00:00:00"/>
    <n v="1"/>
    <x v="1"/>
    <m/>
    <x v="11"/>
    <m/>
    <m/>
    <n v="5025"/>
  </r>
  <r>
    <d v="2025-02-01T00:00:00"/>
    <n v="2"/>
    <x v="1"/>
    <m/>
    <x v="11"/>
    <m/>
    <m/>
    <n v="5025"/>
  </r>
  <r>
    <d v="2025-02-02T00:00:00"/>
    <n v="2"/>
    <x v="1"/>
    <m/>
    <x v="11"/>
    <m/>
    <m/>
    <n v="5025"/>
  </r>
  <r>
    <d v="2025-02-03T00:00:00"/>
    <n v="2"/>
    <x v="1"/>
    <m/>
    <x v="11"/>
    <m/>
    <m/>
    <n v="5025"/>
  </r>
  <r>
    <d v="2025-02-04T00:00:00"/>
    <n v="2"/>
    <x v="1"/>
    <m/>
    <x v="11"/>
    <m/>
    <m/>
    <n v="5025"/>
  </r>
  <r>
    <d v="2025-02-05T00:00:00"/>
    <n v="2"/>
    <x v="1"/>
    <m/>
    <x v="11"/>
    <m/>
    <m/>
    <n v="5025"/>
  </r>
  <r>
    <d v="2025-02-06T00:00:00"/>
    <n v="2"/>
    <x v="1"/>
    <m/>
    <x v="11"/>
    <m/>
    <m/>
    <n v="5025"/>
  </r>
  <r>
    <d v="2025-02-07T00:00:00"/>
    <n v="2"/>
    <x v="1"/>
    <m/>
    <x v="11"/>
    <m/>
    <m/>
    <n v="5025"/>
  </r>
  <r>
    <d v="2025-02-08T00:00:00"/>
    <n v="2"/>
    <x v="1"/>
    <m/>
    <x v="11"/>
    <m/>
    <m/>
    <n v="5025"/>
  </r>
  <r>
    <d v="2025-02-09T00:00:00"/>
    <n v="2"/>
    <x v="1"/>
    <m/>
    <x v="11"/>
    <m/>
    <m/>
    <n v="5025"/>
  </r>
  <r>
    <d v="2025-02-10T00:00:00"/>
    <n v="2"/>
    <x v="1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  <r>
    <m/>
    <n v="1"/>
    <x v="2"/>
    <m/>
    <x v="11"/>
    <m/>
    <m/>
    <n v="5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F4846-B5FE-4235-A8AF-618E76466EA3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 rowPageCount="1" colPageCount="1"/>
  <pivotFields count="8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axis="axisRow" showAll="0">
      <items count="13">
        <item x="1"/>
        <item x="4"/>
        <item x="6"/>
        <item x="8"/>
        <item x="7"/>
        <item x="9"/>
        <item x="0"/>
        <item x="10"/>
        <item x="5"/>
        <item x="3"/>
        <item x="2"/>
        <item h="1" x="11"/>
        <item t="default"/>
      </items>
    </pivotField>
    <pivotField dataField="1" showAll="0"/>
    <pivotField dataField="1" showAll="0"/>
    <pivotField numFmtId="165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Income" fld="5" baseField="0" baseItem="0"/>
    <dataField name="Sum of Expenses" fld="6" baseField="0" baseItem="0"/>
  </dataFields>
  <formats count="1">
    <format dxfId="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1" displayName="Tabel1" ref="A1:A19" headerRowDxfId="0">
  <tableColumns count="1">
    <tableColumn id="1" xr3:uid="{00000000-0010-0000-0000-000001000000}" name="categorieën uitgaven"/>
  </tableColumns>
  <tableStyleInfo name="categories_cash boo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H584" headerRowDxfId="2">
  <tableColumns count="8">
    <tableColumn id="1" xr3:uid="{00000000-0010-0000-0100-000001000000}" name="Date" dataDxfId="10"/>
    <tableColumn id="2" xr3:uid="{00000000-0010-0000-0100-000002000000}" name="Month" dataDxfId="9"/>
    <tableColumn id="3" xr3:uid="{00000000-0010-0000-0100-000003000000}" name="Year" dataDxfId="8"/>
    <tableColumn id="4" xr3:uid="{00000000-0010-0000-0100-000004000000}" name="Description" dataDxfId="7"/>
    <tableColumn id="5" xr3:uid="{00000000-0010-0000-0100-000005000000}" name="Category" dataDxfId="6"/>
    <tableColumn id="6" xr3:uid="{00000000-0010-0000-0100-000006000000}" name="Income" dataDxfId="5"/>
    <tableColumn id="7" xr3:uid="{00000000-0010-0000-0100-000007000000}" name="Expenses" dataDxfId="4"/>
    <tableColumn id="8" xr3:uid="{00000000-0010-0000-0100-000008000000}" name="Balance" dataDxfId="3"/>
  </tableColumns>
  <tableStyleInfo name="cash book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10" sqref="B10"/>
    </sheetView>
  </sheetViews>
  <sheetFormatPr defaultColWidth="14.42578125" defaultRowHeight="15" customHeight="1" x14ac:dyDescent="0.25"/>
  <cols>
    <col min="1" max="1" width="25.42578125" customWidth="1"/>
    <col min="2" max="6" width="18.7109375" customWidth="1"/>
    <col min="7" max="26" width="8.85546875" customWidth="1"/>
  </cols>
  <sheetData>
    <row r="1" spans="1:26" ht="14.25" customHeight="1" x14ac:dyDescent="0.25">
      <c r="A1" s="51" t="s">
        <v>50</v>
      </c>
      <c r="B1" s="51" t="s">
        <v>0</v>
      </c>
      <c r="C1" s="51" t="s">
        <v>1</v>
      </c>
      <c r="D1" s="51" t="s">
        <v>2</v>
      </c>
      <c r="E1" s="51" t="s">
        <v>3</v>
      </c>
      <c r="F1" s="5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50" t="s">
        <v>48</v>
      </c>
      <c r="B2" s="3">
        <v>5000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2" t="s">
        <v>5</v>
      </c>
      <c r="B3" s="3">
        <v>30000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2" t="s">
        <v>6</v>
      </c>
      <c r="B4" s="3">
        <v>10000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2" t="s">
        <v>7</v>
      </c>
      <c r="B5" s="3">
        <v>10000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50" t="s">
        <v>49</v>
      </c>
      <c r="B6" s="3">
        <v>5000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spans="1:26" ht="14.25" customHeight="1" x14ac:dyDescent="0.25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1:26" ht="14.25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1:26" ht="14.25" customHeight="1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spans="1:26" ht="14.25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spans="1:26" ht="14.25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spans="1:26" ht="14.25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spans="1:26" ht="14.25" customHeight="1" x14ac:dyDescent="0.2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4"/>
    </row>
    <row r="14" spans="1:26" ht="14.25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4"/>
    </row>
    <row r="15" spans="1:26" ht="14.25" customHeight="1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4"/>
    </row>
    <row r="16" spans="1:26" ht="14.25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4"/>
    </row>
    <row r="17" spans="2:26" ht="14.25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4"/>
    </row>
    <row r="18" spans="2:26" ht="14.25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4"/>
    </row>
    <row r="19" spans="2:26" ht="14.25" customHeight="1" x14ac:dyDescent="0.25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4"/>
    </row>
    <row r="20" spans="2:26" ht="14.25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spans="2:26" ht="14.25" customHeight="1" x14ac:dyDescent="0.25">
      <c r="Z21" s="1"/>
    </row>
    <row r="22" spans="2:26" ht="14.25" customHeight="1" x14ac:dyDescent="0.25">
      <c r="Z22" s="1"/>
    </row>
    <row r="23" spans="2:26" ht="14.25" customHeight="1" x14ac:dyDescent="0.25">
      <c r="Z23" s="1"/>
    </row>
    <row r="24" spans="2:26" ht="14.25" customHeight="1" x14ac:dyDescent="0.25">
      <c r="Z24" s="1"/>
    </row>
    <row r="25" spans="2:26" ht="14.25" customHeight="1" x14ac:dyDescent="0.25">
      <c r="Z25" s="1"/>
    </row>
    <row r="26" spans="2:26" ht="14.25" customHeight="1" x14ac:dyDescent="0.25">
      <c r="Z26" s="1"/>
    </row>
    <row r="27" spans="2:26" ht="14.25" customHeight="1" x14ac:dyDescent="0.25">
      <c r="Z27" s="1"/>
    </row>
    <row r="28" spans="2:26" ht="14.25" customHeight="1" x14ac:dyDescent="0.25">
      <c r="Z28" s="1"/>
    </row>
    <row r="29" spans="2:26" ht="14.25" customHeight="1" x14ac:dyDescent="0.25">
      <c r="Z29" s="1"/>
    </row>
    <row r="30" spans="2:26" ht="14.25" customHeight="1" x14ac:dyDescent="0.25">
      <c r="Z30" s="1"/>
    </row>
    <row r="31" spans="2:26" ht="14.25" customHeight="1" x14ac:dyDescent="0.25">
      <c r="Z31" s="1"/>
    </row>
    <row r="32" spans="2:26" ht="14.25" customHeight="1" x14ac:dyDescent="0.25">
      <c r="Z32" s="1"/>
    </row>
    <row r="33" spans="26:26" ht="14.25" customHeight="1" x14ac:dyDescent="0.25">
      <c r="Z33" s="1"/>
    </row>
    <row r="34" spans="26:26" ht="14.25" customHeight="1" x14ac:dyDescent="0.25">
      <c r="Z34" s="1"/>
    </row>
    <row r="35" spans="26:26" ht="14.25" customHeight="1" x14ac:dyDescent="0.25">
      <c r="Z35" s="1"/>
    </row>
    <row r="36" spans="26:26" ht="14.25" customHeight="1" x14ac:dyDescent="0.25">
      <c r="Z36" s="1"/>
    </row>
    <row r="37" spans="26:26" ht="14.25" customHeight="1" x14ac:dyDescent="0.25">
      <c r="Z37" s="1"/>
    </row>
    <row r="38" spans="26:26" ht="14.25" customHeight="1" x14ac:dyDescent="0.25">
      <c r="Z38" s="1"/>
    </row>
    <row r="39" spans="26:26" ht="14.25" customHeight="1" x14ac:dyDescent="0.25">
      <c r="Z39" s="1"/>
    </row>
    <row r="40" spans="26:26" ht="14.25" customHeight="1" x14ac:dyDescent="0.25">
      <c r="Z40" s="1"/>
    </row>
    <row r="41" spans="26:26" ht="14.25" customHeight="1" x14ac:dyDescent="0.25">
      <c r="Z41" s="1"/>
    </row>
    <row r="42" spans="26:26" ht="14.25" customHeight="1" x14ac:dyDescent="0.25">
      <c r="Z42" s="1"/>
    </row>
    <row r="43" spans="26:26" ht="14.25" customHeight="1" x14ac:dyDescent="0.25">
      <c r="Z43" s="1"/>
    </row>
    <row r="44" spans="26:26" ht="14.25" customHeight="1" x14ac:dyDescent="0.25">
      <c r="Z44" s="1"/>
    </row>
    <row r="45" spans="26:26" ht="14.25" customHeight="1" x14ac:dyDescent="0.25">
      <c r="Z45" s="1"/>
    </row>
    <row r="46" spans="26:26" ht="14.25" customHeight="1" x14ac:dyDescent="0.25">
      <c r="Z46" s="1"/>
    </row>
    <row r="47" spans="26:26" ht="14.25" customHeight="1" x14ac:dyDescent="0.25">
      <c r="Z47" s="1"/>
    </row>
    <row r="48" spans="26:26" ht="14.25" customHeight="1" x14ac:dyDescent="0.25">
      <c r="Z48" s="1"/>
    </row>
    <row r="49" spans="26:26" ht="14.25" customHeight="1" x14ac:dyDescent="0.25">
      <c r="Z49" s="1"/>
    </row>
    <row r="50" spans="26:26" ht="14.25" customHeight="1" x14ac:dyDescent="0.25">
      <c r="Z50" s="1"/>
    </row>
    <row r="51" spans="26:26" ht="14.25" customHeight="1" x14ac:dyDescent="0.25">
      <c r="Z51" s="1"/>
    </row>
    <row r="52" spans="26:26" ht="14.25" customHeight="1" x14ac:dyDescent="0.25">
      <c r="Z52" s="1"/>
    </row>
    <row r="53" spans="26:26" ht="14.25" customHeight="1" x14ac:dyDescent="0.25">
      <c r="Z53" s="1"/>
    </row>
    <row r="54" spans="26:26" ht="14.25" customHeight="1" x14ac:dyDescent="0.25">
      <c r="Z54" s="1"/>
    </row>
    <row r="55" spans="26:26" ht="14.25" customHeight="1" x14ac:dyDescent="0.25">
      <c r="Z55" s="1"/>
    </row>
    <row r="56" spans="26:26" ht="14.25" customHeight="1" x14ac:dyDescent="0.25">
      <c r="Z56" s="1"/>
    </row>
    <row r="57" spans="26:26" ht="14.25" customHeight="1" x14ac:dyDescent="0.25">
      <c r="Z57" s="1"/>
    </row>
    <row r="58" spans="26:26" ht="14.25" customHeight="1" x14ac:dyDescent="0.25">
      <c r="Z58" s="1"/>
    </row>
    <row r="59" spans="26:26" ht="14.25" customHeight="1" x14ac:dyDescent="0.25">
      <c r="Z59" s="1"/>
    </row>
    <row r="60" spans="26:26" ht="14.25" customHeight="1" x14ac:dyDescent="0.25">
      <c r="Z60" s="1"/>
    </row>
    <row r="61" spans="26:26" ht="14.25" customHeight="1" x14ac:dyDescent="0.25">
      <c r="Z61" s="1"/>
    </row>
    <row r="62" spans="26:26" ht="14.25" customHeight="1" x14ac:dyDescent="0.25">
      <c r="Z62" s="1"/>
    </row>
    <row r="63" spans="26:26" ht="14.25" customHeight="1" x14ac:dyDescent="0.25">
      <c r="Z63" s="1"/>
    </row>
    <row r="64" spans="26:26" ht="14.25" customHeight="1" x14ac:dyDescent="0.25">
      <c r="Z64" s="1"/>
    </row>
    <row r="65" spans="26:26" ht="14.25" customHeight="1" x14ac:dyDescent="0.25">
      <c r="Z65" s="1"/>
    </row>
    <row r="66" spans="26:26" ht="14.25" customHeight="1" x14ac:dyDescent="0.25">
      <c r="Z66" s="1"/>
    </row>
    <row r="67" spans="26:26" ht="14.25" customHeight="1" x14ac:dyDescent="0.25">
      <c r="Z67" s="1"/>
    </row>
    <row r="68" spans="26:26" ht="14.25" customHeight="1" x14ac:dyDescent="0.25">
      <c r="Z68" s="1"/>
    </row>
    <row r="69" spans="26:26" ht="14.25" customHeight="1" x14ac:dyDescent="0.25">
      <c r="Z69" s="1"/>
    </row>
    <row r="70" spans="26:26" ht="14.25" customHeight="1" x14ac:dyDescent="0.25">
      <c r="Z70" s="1"/>
    </row>
    <row r="71" spans="26:26" ht="14.25" customHeight="1" x14ac:dyDescent="0.25">
      <c r="Z71" s="1"/>
    </row>
    <row r="72" spans="26:26" ht="14.25" customHeight="1" x14ac:dyDescent="0.25">
      <c r="Z72" s="1"/>
    </row>
    <row r="73" spans="26:26" ht="14.25" customHeight="1" x14ac:dyDescent="0.25">
      <c r="Z73" s="1"/>
    </row>
    <row r="74" spans="26:26" ht="14.25" customHeight="1" x14ac:dyDescent="0.25">
      <c r="Z74" s="1"/>
    </row>
    <row r="75" spans="26:26" ht="14.25" customHeight="1" x14ac:dyDescent="0.25">
      <c r="Z75" s="1"/>
    </row>
    <row r="76" spans="26:26" ht="14.25" customHeight="1" x14ac:dyDescent="0.25">
      <c r="Z76" s="1"/>
    </row>
    <row r="77" spans="26:26" ht="14.25" customHeight="1" x14ac:dyDescent="0.25">
      <c r="Z77" s="1"/>
    </row>
    <row r="78" spans="26:26" ht="14.25" customHeight="1" x14ac:dyDescent="0.25">
      <c r="Z78" s="1"/>
    </row>
    <row r="79" spans="26:26" ht="14.25" customHeight="1" x14ac:dyDescent="0.25">
      <c r="Z79" s="1"/>
    </row>
    <row r="80" spans="26:26" ht="14.25" customHeight="1" x14ac:dyDescent="0.25">
      <c r="Z80" s="1"/>
    </row>
    <row r="81" spans="26:26" ht="14.25" customHeight="1" x14ac:dyDescent="0.25">
      <c r="Z81" s="1"/>
    </row>
    <row r="82" spans="26:26" ht="14.25" customHeight="1" x14ac:dyDescent="0.25">
      <c r="Z82" s="1"/>
    </row>
    <row r="83" spans="26:26" ht="14.25" customHeight="1" x14ac:dyDescent="0.25">
      <c r="Z83" s="1"/>
    </row>
    <row r="84" spans="26:26" ht="14.25" customHeight="1" x14ac:dyDescent="0.25">
      <c r="Z84" s="1"/>
    </row>
    <row r="85" spans="26:26" ht="14.25" customHeight="1" x14ac:dyDescent="0.25">
      <c r="Z85" s="1"/>
    </row>
    <row r="86" spans="26:26" ht="14.25" customHeight="1" x14ac:dyDescent="0.25">
      <c r="Z86" s="1"/>
    </row>
    <row r="87" spans="26:26" ht="14.25" customHeight="1" x14ac:dyDescent="0.25">
      <c r="Z87" s="1"/>
    </row>
    <row r="88" spans="26:26" ht="14.25" customHeight="1" x14ac:dyDescent="0.25">
      <c r="Z88" s="1"/>
    </row>
    <row r="89" spans="26:26" ht="14.25" customHeight="1" x14ac:dyDescent="0.25">
      <c r="Z89" s="1"/>
    </row>
    <row r="90" spans="26:26" ht="14.25" customHeight="1" x14ac:dyDescent="0.25">
      <c r="Z90" s="1"/>
    </row>
    <row r="91" spans="26:26" ht="14.25" customHeight="1" x14ac:dyDescent="0.25">
      <c r="Z91" s="1"/>
    </row>
    <row r="92" spans="26:26" ht="14.25" customHeight="1" x14ac:dyDescent="0.25">
      <c r="Z92" s="1"/>
    </row>
    <row r="93" spans="26:26" ht="14.25" customHeight="1" x14ac:dyDescent="0.25">
      <c r="Z93" s="1"/>
    </row>
    <row r="94" spans="26:26" ht="14.25" customHeight="1" x14ac:dyDescent="0.25">
      <c r="Z94" s="1"/>
    </row>
    <row r="95" spans="26:26" ht="14.25" customHeight="1" x14ac:dyDescent="0.25">
      <c r="Z95" s="1"/>
    </row>
    <row r="96" spans="26:26" ht="14.25" customHeight="1" x14ac:dyDescent="0.25">
      <c r="Z96" s="1"/>
    </row>
    <row r="97" spans="26:26" ht="14.25" customHeight="1" x14ac:dyDescent="0.25">
      <c r="Z97" s="1"/>
    </row>
    <row r="98" spans="26:26" ht="14.25" customHeight="1" x14ac:dyDescent="0.25">
      <c r="Z98" s="1"/>
    </row>
    <row r="99" spans="26:26" ht="14.25" customHeight="1" x14ac:dyDescent="0.25">
      <c r="Z99" s="1"/>
    </row>
    <row r="100" spans="26:26" ht="14.25" customHeight="1" x14ac:dyDescent="0.25">
      <c r="Z100" s="1"/>
    </row>
    <row r="101" spans="26:26" ht="14.25" customHeight="1" x14ac:dyDescent="0.25">
      <c r="Z101" s="1"/>
    </row>
    <row r="102" spans="26:26" ht="14.25" customHeight="1" x14ac:dyDescent="0.25">
      <c r="Z102" s="1"/>
    </row>
    <row r="103" spans="26:26" ht="14.25" customHeight="1" x14ac:dyDescent="0.25">
      <c r="Z103" s="1"/>
    </row>
    <row r="104" spans="26:26" ht="14.25" customHeight="1" x14ac:dyDescent="0.25">
      <c r="Z104" s="1"/>
    </row>
    <row r="105" spans="26:26" ht="14.25" customHeight="1" x14ac:dyDescent="0.25">
      <c r="Z105" s="1"/>
    </row>
    <row r="106" spans="26:26" ht="14.25" customHeight="1" x14ac:dyDescent="0.25">
      <c r="Z106" s="1"/>
    </row>
    <row r="107" spans="26:26" ht="14.25" customHeight="1" x14ac:dyDescent="0.25">
      <c r="Z107" s="1"/>
    </row>
    <row r="108" spans="26:26" ht="14.25" customHeight="1" x14ac:dyDescent="0.25">
      <c r="Z108" s="1"/>
    </row>
    <row r="109" spans="26:26" ht="14.25" customHeight="1" x14ac:dyDescent="0.25">
      <c r="Z109" s="1"/>
    </row>
    <row r="110" spans="26:26" ht="14.25" customHeight="1" x14ac:dyDescent="0.25">
      <c r="Z110" s="1"/>
    </row>
    <row r="111" spans="26:26" ht="14.25" customHeight="1" x14ac:dyDescent="0.25">
      <c r="Z111" s="1"/>
    </row>
    <row r="112" spans="26:26" ht="14.25" customHeight="1" x14ac:dyDescent="0.25">
      <c r="Z112" s="1"/>
    </row>
    <row r="113" spans="26:26" ht="14.25" customHeight="1" x14ac:dyDescent="0.25">
      <c r="Z113" s="1"/>
    </row>
    <row r="114" spans="26:26" ht="14.25" customHeight="1" x14ac:dyDescent="0.25">
      <c r="Z114" s="1"/>
    </row>
    <row r="115" spans="26:26" ht="14.25" customHeight="1" x14ac:dyDescent="0.25">
      <c r="Z115" s="1"/>
    </row>
    <row r="116" spans="26:26" ht="14.25" customHeight="1" x14ac:dyDescent="0.25">
      <c r="Z116" s="1"/>
    </row>
    <row r="117" spans="26:26" ht="14.25" customHeight="1" x14ac:dyDescent="0.25">
      <c r="Z117" s="1"/>
    </row>
    <row r="118" spans="26:26" ht="14.25" customHeight="1" x14ac:dyDescent="0.25">
      <c r="Z118" s="1"/>
    </row>
    <row r="119" spans="26:26" ht="14.25" customHeight="1" x14ac:dyDescent="0.25">
      <c r="Z119" s="1"/>
    </row>
    <row r="120" spans="26:26" ht="14.25" customHeight="1" x14ac:dyDescent="0.25">
      <c r="Z120" s="1"/>
    </row>
    <row r="121" spans="26:26" ht="14.25" customHeight="1" x14ac:dyDescent="0.25">
      <c r="Z121" s="1"/>
    </row>
    <row r="122" spans="26:26" ht="14.25" customHeight="1" x14ac:dyDescent="0.25">
      <c r="Z122" s="1"/>
    </row>
    <row r="123" spans="26:26" ht="14.25" customHeight="1" x14ac:dyDescent="0.25">
      <c r="Z123" s="1"/>
    </row>
    <row r="124" spans="26:26" ht="14.25" customHeight="1" x14ac:dyDescent="0.25">
      <c r="Z124" s="1"/>
    </row>
    <row r="125" spans="26:26" ht="14.25" customHeight="1" x14ac:dyDescent="0.25">
      <c r="Z125" s="1"/>
    </row>
    <row r="126" spans="26:26" ht="14.25" customHeight="1" x14ac:dyDescent="0.25">
      <c r="Z126" s="1"/>
    </row>
    <row r="127" spans="26:26" ht="14.25" customHeight="1" x14ac:dyDescent="0.25">
      <c r="Z127" s="1"/>
    </row>
    <row r="128" spans="26:26" ht="14.25" customHeight="1" x14ac:dyDescent="0.25">
      <c r="Z128" s="1"/>
    </row>
    <row r="129" spans="26:26" ht="14.25" customHeight="1" x14ac:dyDescent="0.25">
      <c r="Z129" s="1"/>
    </row>
    <row r="130" spans="26:26" ht="14.25" customHeight="1" x14ac:dyDescent="0.25">
      <c r="Z130" s="1"/>
    </row>
    <row r="131" spans="26:26" ht="14.25" customHeight="1" x14ac:dyDescent="0.25">
      <c r="Z131" s="1"/>
    </row>
    <row r="132" spans="26:26" ht="14.25" customHeight="1" x14ac:dyDescent="0.25">
      <c r="Z132" s="1"/>
    </row>
    <row r="133" spans="26:26" ht="14.25" customHeight="1" x14ac:dyDescent="0.25">
      <c r="Z133" s="1"/>
    </row>
    <row r="134" spans="26:26" ht="14.25" customHeight="1" x14ac:dyDescent="0.25">
      <c r="Z134" s="1"/>
    </row>
    <row r="135" spans="26:26" ht="14.25" customHeight="1" x14ac:dyDescent="0.25">
      <c r="Z135" s="1"/>
    </row>
    <row r="136" spans="26:26" ht="14.25" customHeight="1" x14ac:dyDescent="0.25">
      <c r="Z136" s="1"/>
    </row>
    <row r="137" spans="26:26" ht="14.25" customHeight="1" x14ac:dyDescent="0.25">
      <c r="Z137" s="1"/>
    </row>
    <row r="138" spans="26:26" ht="14.25" customHeight="1" x14ac:dyDescent="0.25">
      <c r="Z138" s="1"/>
    </row>
    <row r="139" spans="26:26" ht="14.25" customHeight="1" x14ac:dyDescent="0.25">
      <c r="Z139" s="1"/>
    </row>
    <row r="140" spans="26:26" ht="14.25" customHeight="1" x14ac:dyDescent="0.25">
      <c r="Z140" s="1"/>
    </row>
    <row r="141" spans="26:26" ht="14.25" customHeight="1" x14ac:dyDescent="0.25">
      <c r="Z141" s="1"/>
    </row>
    <row r="142" spans="26:26" ht="14.25" customHeight="1" x14ac:dyDescent="0.25">
      <c r="Z142" s="1"/>
    </row>
    <row r="143" spans="26:26" ht="14.25" customHeight="1" x14ac:dyDescent="0.25">
      <c r="Z143" s="1"/>
    </row>
    <row r="144" spans="26:26" ht="14.25" customHeight="1" x14ac:dyDescent="0.25">
      <c r="Z144" s="1"/>
    </row>
    <row r="145" spans="1:26" ht="14.25" customHeight="1" x14ac:dyDescent="0.25">
      <c r="Z145" s="1"/>
    </row>
    <row r="146" spans="1:26" ht="14.25" customHeight="1" x14ac:dyDescent="0.25">
      <c r="Z146" s="1"/>
    </row>
    <row r="147" spans="1:26" ht="14.25" customHeight="1" x14ac:dyDescent="0.25">
      <c r="Z147" s="1"/>
    </row>
    <row r="148" spans="1:26" ht="14.25" customHeight="1" x14ac:dyDescent="0.25">
      <c r="Z148" s="1"/>
    </row>
    <row r="149" spans="1:26" ht="14.25" customHeight="1" x14ac:dyDescent="0.25">
      <c r="Z149" s="1"/>
    </row>
    <row r="150" spans="1:26" ht="14.25" customHeight="1" x14ac:dyDescent="0.25">
      <c r="Z150" s="1"/>
    </row>
    <row r="151" spans="1:26" ht="14.25" customHeight="1" x14ac:dyDescent="0.25"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97"/>
  <sheetViews>
    <sheetView workbookViewId="0">
      <pane ySplit="1" topLeftCell="A2" activePane="bottomLeft" state="frozen"/>
      <selection pane="bottomLeft" activeCell="C8" sqref="C8"/>
    </sheetView>
  </sheetViews>
  <sheetFormatPr defaultColWidth="14.42578125" defaultRowHeight="15" customHeight="1" x14ac:dyDescent="0.25"/>
  <cols>
    <col min="1" max="1" width="25" customWidth="1"/>
    <col min="2" max="5" width="8.7109375" customWidth="1"/>
    <col min="6" max="6" width="19.28515625" customWidth="1"/>
    <col min="7" max="7" width="10.28515625" customWidth="1"/>
    <col min="8" max="24" width="8.7109375" customWidth="1"/>
  </cols>
  <sheetData>
    <row r="1" spans="1:1" ht="14.25" customHeight="1" x14ac:dyDescent="0.25">
      <c r="A1" s="52" t="s">
        <v>8</v>
      </c>
    </row>
    <row r="2" spans="1:1" ht="14.25" customHeight="1" x14ac:dyDescent="0.25">
      <c r="A2" s="2" t="s">
        <v>9</v>
      </c>
    </row>
    <row r="3" spans="1:1" ht="16.5" customHeight="1" x14ac:dyDescent="0.25">
      <c r="A3" s="2" t="s">
        <v>10</v>
      </c>
    </row>
    <row r="4" spans="1:1" ht="14.25" customHeight="1" x14ac:dyDescent="0.25">
      <c r="A4" s="5" t="s">
        <v>11</v>
      </c>
    </row>
    <row r="5" spans="1:1" ht="14.25" customHeight="1" x14ac:dyDescent="0.25">
      <c r="A5" s="6" t="s">
        <v>12</v>
      </c>
    </row>
    <row r="6" spans="1:1" ht="14.25" customHeight="1" x14ac:dyDescent="0.25">
      <c r="A6" s="5" t="s">
        <v>13</v>
      </c>
    </row>
    <row r="7" spans="1:1" ht="14.25" customHeight="1" x14ac:dyDescent="0.25">
      <c r="A7" s="6" t="s">
        <v>14</v>
      </c>
    </row>
    <row r="8" spans="1:1" ht="14.25" customHeight="1" x14ac:dyDescent="0.25">
      <c r="A8" s="5" t="s">
        <v>15</v>
      </c>
    </row>
    <row r="9" spans="1:1" ht="14.25" customHeight="1" x14ac:dyDescent="0.25">
      <c r="A9" s="6" t="s">
        <v>16</v>
      </c>
    </row>
    <row r="10" spans="1:1" ht="14.25" customHeight="1" x14ac:dyDescent="0.25">
      <c r="A10" s="6" t="s">
        <v>17</v>
      </c>
    </row>
    <row r="11" spans="1:1" ht="14.25" customHeight="1" x14ac:dyDescent="0.25">
      <c r="A11" s="6" t="s">
        <v>18</v>
      </c>
    </row>
    <row r="12" spans="1:1" ht="14.25" customHeight="1" x14ac:dyDescent="0.25">
      <c r="A12" s="6" t="s">
        <v>19</v>
      </c>
    </row>
    <row r="13" spans="1:1" ht="14.25" customHeight="1" x14ac:dyDescent="0.25">
      <c r="A13" s="5" t="s">
        <v>20</v>
      </c>
    </row>
    <row r="14" spans="1:1" ht="14.25" customHeight="1" x14ac:dyDescent="0.25">
      <c r="A14" s="2" t="s">
        <v>21</v>
      </c>
    </row>
    <row r="15" spans="1:1" ht="14.25" customHeight="1" x14ac:dyDescent="0.25">
      <c r="A15" s="2" t="s">
        <v>22</v>
      </c>
    </row>
    <row r="16" spans="1:1" ht="14.25" customHeight="1" x14ac:dyDescent="0.25">
      <c r="A16" s="7" t="s">
        <v>23</v>
      </c>
    </row>
    <row r="17" spans="1:6" ht="14.25" customHeight="1" x14ac:dyDescent="0.25">
      <c r="A17" s="2" t="s">
        <v>24</v>
      </c>
    </row>
    <row r="18" spans="1:6" ht="14.25" customHeight="1" x14ac:dyDescent="0.25">
      <c r="A18" s="2" t="s">
        <v>25</v>
      </c>
    </row>
    <row r="19" spans="1:6" ht="14.25" customHeight="1" x14ac:dyDescent="0.25">
      <c r="A19" s="6" t="s">
        <v>26</v>
      </c>
    </row>
    <row r="20" spans="1:6" ht="65.25" customHeight="1" x14ac:dyDescent="0.25">
      <c r="F20" s="8"/>
    </row>
    <row r="21" spans="1:6" ht="54" customHeight="1" x14ac:dyDescent="0.25">
      <c r="F21" s="8"/>
    </row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ySplit="1" topLeftCell="A2" activePane="bottomLeft" state="frozen"/>
      <selection pane="bottomLeft" activeCell="D21" sqref="D21"/>
    </sheetView>
  </sheetViews>
  <sheetFormatPr defaultColWidth="14.42578125" defaultRowHeight="15" customHeight="1" x14ac:dyDescent="0.25"/>
  <cols>
    <col min="1" max="1" width="12.28515625" customWidth="1"/>
    <col min="2" max="2" width="9.5703125" customWidth="1"/>
    <col min="3" max="3" width="11.140625" customWidth="1"/>
    <col min="4" max="4" width="40.7109375" customWidth="1"/>
    <col min="5" max="5" width="29.140625" customWidth="1"/>
    <col min="6" max="6" width="15.140625" customWidth="1"/>
    <col min="7" max="7" width="13.7109375" customWidth="1"/>
    <col min="8" max="8" width="14.28515625" customWidth="1"/>
    <col min="9" max="9" width="4.85546875" customWidth="1"/>
    <col min="10" max="27" width="8.7109375" customWidth="1"/>
  </cols>
  <sheetData>
    <row r="1" spans="1:8" ht="15.75" x14ac:dyDescent="0.25">
      <c r="A1" s="35" t="s">
        <v>27</v>
      </c>
      <c r="B1" s="35" t="s">
        <v>28</v>
      </c>
      <c r="C1" s="36" t="s">
        <v>29</v>
      </c>
      <c r="D1" s="36" t="s">
        <v>30</v>
      </c>
      <c r="E1" s="35" t="s">
        <v>31</v>
      </c>
      <c r="F1" s="37" t="s">
        <v>32</v>
      </c>
      <c r="G1" s="37" t="s">
        <v>33</v>
      </c>
      <c r="H1" s="37" t="s">
        <v>34</v>
      </c>
    </row>
    <row r="2" spans="1:8" ht="34.5" customHeight="1" x14ac:dyDescent="0.25">
      <c r="A2" s="16">
        <v>45292</v>
      </c>
      <c r="B2" s="17">
        <f>MONTH('cash book - Argenta'!$A2)</f>
        <v>1</v>
      </c>
      <c r="C2" s="18">
        <f t="shared" ref="C2:C256" si="0">YEAR(A2)</f>
        <v>2024</v>
      </c>
      <c r="D2" s="18"/>
      <c r="E2" s="17" t="s">
        <v>35</v>
      </c>
      <c r="F2" s="19"/>
      <c r="G2" s="20"/>
      <c r="H2" s="19">
        <f>Overview!B2</f>
        <v>5000</v>
      </c>
    </row>
    <row r="3" spans="1:8" ht="34.5" customHeight="1" x14ac:dyDescent="0.25">
      <c r="A3" s="21">
        <v>45294</v>
      </c>
      <c r="B3" s="22">
        <f>MONTH('cash book - Argenta'!$A3)</f>
        <v>1</v>
      </c>
      <c r="C3" s="23">
        <f t="shared" si="0"/>
        <v>2024</v>
      </c>
      <c r="D3" s="23"/>
      <c r="E3" s="22" t="s">
        <v>36</v>
      </c>
      <c r="F3" s="24"/>
      <c r="G3" s="24">
        <v>1200</v>
      </c>
      <c r="H3" s="24">
        <f t="shared" ref="H3:H94" si="1">H2+F3-G3</f>
        <v>3800</v>
      </c>
    </row>
    <row r="4" spans="1:8" ht="34.5" customHeight="1" x14ac:dyDescent="0.25">
      <c r="A4" s="25">
        <v>45294</v>
      </c>
      <c r="B4" s="22">
        <f>MONTH('cash book - Argenta'!$A4)</f>
        <v>1</v>
      </c>
      <c r="C4" s="23">
        <f t="shared" si="0"/>
        <v>2024</v>
      </c>
      <c r="D4" s="23"/>
      <c r="E4" s="22" t="s">
        <v>37</v>
      </c>
      <c r="F4" s="24"/>
      <c r="G4" s="24">
        <v>300</v>
      </c>
      <c r="H4" s="24">
        <f t="shared" si="1"/>
        <v>3500</v>
      </c>
    </row>
    <row r="5" spans="1:8" ht="34.5" customHeight="1" x14ac:dyDescent="0.25">
      <c r="A5" s="21">
        <v>45296</v>
      </c>
      <c r="B5" s="22">
        <f>MONTH('cash book - Argenta'!$A5)</f>
        <v>1</v>
      </c>
      <c r="C5" s="23">
        <f t="shared" si="0"/>
        <v>2024</v>
      </c>
      <c r="D5" s="23"/>
      <c r="E5" s="22" t="s">
        <v>38</v>
      </c>
      <c r="F5" s="24"/>
      <c r="G5" s="24">
        <v>45</v>
      </c>
      <c r="H5" s="24">
        <f t="shared" si="1"/>
        <v>3455</v>
      </c>
    </row>
    <row r="6" spans="1:8" ht="34.5" customHeight="1" x14ac:dyDescent="0.25">
      <c r="A6" s="25">
        <v>45303</v>
      </c>
      <c r="B6" s="22">
        <f>MONTH('cash book - Argenta'!$A6)</f>
        <v>1</v>
      </c>
      <c r="C6" s="23">
        <f t="shared" si="0"/>
        <v>2024</v>
      </c>
      <c r="D6" s="23"/>
      <c r="E6" s="22" t="s">
        <v>38</v>
      </c>
      <c r="F6" s="24"/>
      <c r="G6" s="24">
        <v>30</v>
      </c>
      <c r="H6" s="24">
        <f t="shared" si="1"/>
        <v>3425</v>
      </c>
    </row>
    <row r="7" spans="1:8" ht="34.5" customHeight="1" x14ac:dyDescent="0.25">
      <c r="A7" s="21">
        <v>45303</v>
      </c>
      <c r="B7" s="22">
        <f>MONTH('cash book - Argenta'!$A7)</f>
        <v>1</v>
      </c>
      <c r="C7" s="23">
        <f t="shared" si="0"/>
        <v>2024</v>
      </c>
      <c r="D7" s="23"/>
      <c r="E7" s="22" t="s">
        <v>39</v>
      </c>
      <c r="F7" s="24"/>
      <c r="G7" s="24">
        <v>400</v>
      </c>
      <c r="H7" s="24">
        <f t="shared" si="1"/>
        <v>3025</v>
      </c>
    </row>
    <row r="8" spans="1:8" ht="34.5" customHeight="1" x14ac:dyDescent="0.25">
      <c r="A8" s="25">
        <v>45303</v>
      </c>
      <c r="B8" s="22">
        <f>MONTH('cash book - Argenta'!$A8)</f>
        <v>1</v>
      </c>
      <c r="C8" s="23">
        <f t="shared" si="0"/>
        <v>2024</v>
      </c>
      <c r="D8" s="23"/>
      <c r="E8" s="22" t="s">
        <v>39</v>
      </c>
      <c r="F8" s="24"/>
      <c r="G8" s="24">
        <v>300</v>
      </c>
      <c r="H8" s="24">
        <f t="shared" si="1"/>
        <v>2725</v>
      </c>
    </row>
    <row r="9" spans="1:8" ht="34.5" customHeight="1" x14ac:dyDescent="0.25">
      <c r="A9" s="21">
        <v>45306</v>
      </c>
      <c r="B9" s="22">
        <f>MONTH('cash book - Argenta'!$A9)</f>
        <v>1</v>
      </c>
      <c r="C9" s="23">
        <f t="shared" si="0"/>
        <v>2024</v>
      </c>
      <c r="D9" s="23"/>
      <c r="E9" s="22" t="s">
        <v>40</v>
      </c>
      <c r="F9" s="24"/>
      <c r="G9" s="24">
        <v>200</v>
      </c>
      <c r="H9" s="24">
        <f t="shared" si="1"/>
        <v>2525</v>
      </c>
    </row>
    <row r="10" spans="1:8" ht="34.5" customHeight="1" x14ac:dyDescent="0.25">
      <c r="A10" s="25">
        <v>45310</v>
      </c>
      <c r="B10" s="22">
        <f>MONTH('cash book - Argenta'!$A10)</f>
        <v>1</v>
      </c>
      <c r="C10" s="23">
        <f t="shared" si="0"/>
        <v>2024</v>
      </c>
      <c r="D10" s="23"/>
      <c r="E10" s="22" t="s">
        <v>11</v>
      </c>
      <c r="F10" s="24"/>
      <c r="G10" s="24">
        <v>30</v>
      </c>
      <c r="H10" s="24">
        <f t="shared" si="1"/>
        <v>2495</v>
      </c>
    </row>
    <row r="11" spans="1:8" ht="34.5" customHeight="1" x14ac:dyDescent="0.25">
      <c r="A11" s="21">
        <v>45316</v>
      </c>
      <c r="B11" s="22">
        <f>MONTH('cash book - Argenta'!$A11)</f>
        <v>1</v>
      </c>
      <c r="C11" s="23">
        <f t="shared" si="0"/>
        <v>2024</v>
      </c>
      <c r="D11" s="23"/>
      <c r="E11" s="22" t="s">
        <v>15</v>
      </c>
      <c r="F11" s="24"/>
      <c r="G11" s="24">
        <v>100</v>
      </c>
      <c r="H11" s="24">
        <f t="shared" si="1"/>
        <v>2395</v>
      </c>
    </row>
    <row r="12" spans="1:8" ht="34.5" customHeight="1" x14ac:dyDescent="0.25">
      <c r="A12" s="25">
        <v>45316</v>
      </c>
      <c r="B12" s="22">
        <f>MONTH('cash book - Argenta'!$A12)</f>
        <v>1</v>
      </c>
      <c r="C12" s="23">
        <f t="shared" si="0"/>
        <v>2024</v>
      </c>
      <c r="D12" s="23"/>
      <c r="E12" s="22" t="s">
        <v>15</v>
      </c>
      <c r="F12" s="24"/>
      <c r="G12" s="24">
        <v>15</v>
      </c>
      <c r="H12" s="24">
        <f t="shared" si="1"/>
        <v>2380</v>
      </c>
    </row>
    <row r="13" spans="1:8" ht="34.5" customHeight="1" x14ac:dyDescent="0.25">
      <c r="A13" s="21">
        <v>45316</v>
      </c>
      <c r="B13" s="22">
        <f>MONTH('cash book - Argenta'!$A13)</f>
        <v>1</v>
      </c>
      <c r="C13" s="23">
        <f t="shared" si="0"/>
        <v>2024</v>
      </c>
      <c r="D13" s="23"/>
      <c r="E13" s="22" t="s">
        <v>40</v>
      </c>
      <c r="F13" s="24"/>
      <c r="G13" s="24">
        <v>50</v>
      </c>
      <c r="H13" s="24">
        <f t="shared" si="1"/>
        <v>2330</v>
      </c>
    </row>
    <row r="14" spans="1:8" ht="34.5" customHeight="1" x14ac:dyDescent="0.25">
      <c r="A14" s="25">
        <v>45317</v>
      </c>
      <c r="B14" s="22">
        <f>MONTH('cash book - Argenta'!$A14)</f>
        <v>1</v>
      </c>
      <c r="C14" s="23">
        <f t="shared" si="0"/>
        <v>2024</v>
      </c>
      <c r="D14" s="23"/>
      <c r="E14" s="22" t="s">
        <v>11</v>
      </c>
      <c r="F14" s="24"/>
      <c r="G14" s="24">
        <v>15</v>
      </c>
      <c r="H14" s="24">
        <f t="shared" si="1"/>
        <v>2315</v>
      </c>
    </row>
    <row r="15" spans="1:8" ht="34.5" customHeight="1" x14ac:dyDescent="0.25">
      <c r="A15" s="21">
        <v>45318</v>
      </c>
      <c r="B15" s="22">
        <f>MONTH('cash book - Argenta'!$A15)</f>
        <v>1</v>
      </c>
      <c r="C15" s="23">
        <f t="shared" si="0"/>
        <v>2024</v>
      </c>
      <c r="D15" s="23"/>
      <c r="E15" s="22" t="s">
        <v>38</v>
      </c>
      <c r="F15" s="24"/>
      <c r="G15" s="24">
        <v>20</v>
      </c>
      <c r="H15" s="24">
        <f t="shared" si="1"/>
        <v>2295</v>
      </c>
    </row>
    <row r="16" spans="1:8" ht="34.5" customHeight="1" x14ac:dyDescent="0.25">
      <c r="A16" s="25">
        <v>45318</v>
      </c>
      <c r="B16" s="22">
        <f>MONTH('cash book - Argenta'!$A16)</f>
        <v>1</v>
      </c>
      <c r="C16" s="23">
        <f t="shared" si="0"/>
        <v>2024</v>
      </c>
      <c r="D16" s="23"/>
      <c r="E16" s="22" t="s">
        <v>39</v>
      </c>
      <c r="F16" s="24"/>
      <c r="G16" s="24">
        <v>40</v>
      </c>
      <c r="H16" s="24">
        <f t="shared" si="1"/>
        <v>2255</v>
      </c>
    </row>
    <row r="17" spans="1:8" ht="34.5" customHeight="1" x14ac:dyDescent="0.25">
      <c r="A17" s="21">
        <v>45318</v>
      </c>
      <c r="B17" s="22">
        <f>MONTH('cash book - Argenta'!$A17)</f>
        <v>1</v>
      </c>
      <c r="C17" s="23">
        <f t="shared" si="0"/>
        <v>2024</v>
      </c>
      <c r="D17" s="23"/>
      <c r="E17" s="22" t="s">
        <v>11</v>
      </c>
      <c r="F17" s="24"/>
      <c r="G17" s="24">
        <v>15</v>
      </c>
      <c r="H17" s="24">
        <f t="shared" si="1"/>
        <v>2240</v>
      </c>
    </row>
    <row r="18" spans="1:8" ht="34.5" customHeight="1" x14ac:dyDescent="0.25">
      <c r="A18" s="25">
        <v>45319</v>
      </c>
      <c r="B18" s="22">
        <f>MONTH('cash book - Argenta'!$A18)</f>
        <v>1</v>
      </c>
      <c r="C18" s="23">
        <f t="shared" si="0"/>
        <v>2024</v>
      </c>
      <c r="D18" s="23"/>
      <c r="E18" s="22" t="s">
        <v>41</v>
      </c>
      <c r="F18" s="24"/>
      <c r="G18" s="24">
        <v>45</v>
      </c>
      <c r="H18" s="24">
        <f t="shared" si="1"/>
        <v>2195</v>
      </c>
    </row>
    <row r="19" spans="1:8" ht="34.5" customHeight="1" x14ac:dyDescent="0.25">
      <c r="A19" s="21">
        <v>45319</v>
      </c>
      <c r="B19" s="22">
        <f>MONTH('cash book - Argenta'!$A19)</f>
        <v>1</v>
      </c>
      <c r="C19" s="23">
        <f t="shared" si="0"/>
        <v>2024</v>
      </c>
      <c r="D19" s="23"/>
      <c r="E19" s="22" t="s">
        <v>42</v>
      </c>
      <c r="F19" s="24"/>
      <c r="G19" s="24">
        <v>80</v>
      </c>
      <c r="H19" s="24">
        <f t="shared" si="1"/>
        <v>2115</v>
      </c>
    </row>
    <row r="20" spans="1:8" ht="34.5" customHeight="1" x14ac:dyDescent="0.25">
      <c r="A20" s="25">
        <v>45319</v>
      </c>
      <c r="B20" s="22">
        <f>MONTH('cash book - Argenta'!$A20)</f>
        <v>1</v>
      </c>
      <c r="C20" s="23">
        <f t="shared" si="0"/>
        <v>2024</v>
      </c>
      <c r="D20" s="23"/>
      <c r="E20" s="22" t="s">
        <v>40</v>
      </c>
      <c r="F20" s="24"/>
      <c r="G20" s="24">
        <v>90</v>
      </c>
      <c r="H20" s="24">
        <f t="shared" si="1"/>
        <v>2025</v>
      </c>
    </row>
    <row r="21" spans="1:8" ht="34.5" customHeight="1" x14ac:dyDescent="0.25">
      <c r="A21" s="21">
        <v>45320</v>
      </c>
      <c r="B21" s="22">
        <f>MONTH('cash book - Argenta'!$A21)</f>
        <v>1</v>
      </c>
      <c r="C21" s="23">
        <f t="shared" si="0"/>
        <v>2024</v>
      </c>
      <c r="D21" s="23"/>
      <c r="E21" s="22" t="s">
        <v>18</v>
      </c>
      <c r="F21" s="24">
        <v>3000</v>
      </c>
      <c r="G21" s="24"/>
      <c r="H21" s="24">
        <f t="shared" si="1"/>
        <v>5025</v>
      </c>
    </row>
    <row r="22" spans="1:8" ht="34.5" customHeight="1" x14ac:dyDescent="0.25">
      <c r="A22" s="25">
        <v>45324</v>
      </c>
      <c r="B22" s="22">
        <f>MONTH('cash book - Argenta'!$A22)</f>
        <v>2</v>
      </c>
      <c r="C22" s="23">
        <f t="shared" si="0"/>
        <v>2024</v>
      </c>
      <c r="D22" s="23"/>
      <c r="E22" s="22"/>
      <c r="F22" s="24"/>
      <c r="G22" s="24"/>
      <c r="H22" s="24">
        <f t="shared" si="1"/>
        <v>5025</v>
      </c>
    </row>
    <row r="23" spans="1:8" ht="34.5" customHeight="1" x14ac:dyDescent="0.25">
      <c r="A23" s="21">
        <v>45325</v>
      </c>
      <c r="B23" s="22">
        <f>MONTH('cash book - Argenta'!$A23)</f>
        <v>2</v>
      </c>
      <c r="C23" s="23">
        <f t="shared" si="0"/>
        <v>2024</v>
      </c>
      <c r="D23" s="23"/>
      <c r="E23" s="22"/>
      <c r="F23" s="24"/>
      <c r="G23" s="24"/>
      <c r="H23" s="24">
        <f t="shared" si="1"/>
        <v>5025</v>
      </c>
    </row>
    <row r="24" spans="1:8" ht="34.5" customHeight="1" x14ac:dyDescent="0.25">
      <c r="A24" s="25">
        <v>45325</v>
      </c>
      <c r="B24" s="22">
        <f>MONTH('cash book - Argenta'!$A24)</f>
        <v>2</v>
      </c>
      <c r="C24" s="23">
        <f t="shared" si="0"/>
        <v>2024</v>
      </c>
      <c r="D24" s="23"/>
      <c r="E24" s="22"/>
      <c r="F24" s="24"/>
      <c r="G24" s="24"/>
      <c r="H24" s="24">
        <f t="shared" si="1"/>
        <v>5025</v>
      </c>
    </row>
    <row r="25" spans="1:8" ht="34.5" customHeight="1" x14ac:dyDescent="0.25">
      <c r="A25" s="21">
        <v>45325</v>
      </c>
      <c r="B25" s="22">
        <f>MONTH('cash book - Argenta'!$A25)</f>
        <v>2</v>
      </c>
      <c r="C25" s="23">
        <f t="shared" si="0"/>
        <v>2024</v>
      </c>
      <c r="D25" s="23"/>
      <c r="E25" s="22"/>
      <c r="F25" s="24"/>
      <c r="G25" s="24"/>
      <c r="H25" s="24">
        <f t="shared" si="1"/>
        <v>5025</v>
      </c>
    </row>
    <row r="26" spans="1:8" ht="34.5" customHeight="1" x14ac:dyDescent="0.25">
      <c r="A26" s="25">
        <v>45327</v>
      </c>
      <c r="B26" s="22">
        <f>MONTH('cash book - Argenta'!$A26)</f>
        <v>2</v>
      </c>
      <c r="C26" s="23">
        <f t="shared" si="0"/>
        <v>2024</v>
      </c>
      <c r="D26" s="23"/>
      <c r="E26" s="22"/>
      <c r="F26" s="24"/>
      <c r="G26" s="24"/>
      <c r="H26" s="24">
        <f t="shared" si="1"/>
        <v>5025</v>
      </c>
    </row>
    <row r="27" spans="1:8" ht="34.5" customHeight="1" x14ac:dyDescent="0.25">
      <c r="A27" s="21">
        <v>45327</v>
      </c>
      <c r="B27" s="22">
        <f>MONTH('cash book - Argenta'!$A27)</f>
        <v>2</v>
      </c>
      <c r="C27" s="23">
        <f t="shared" si="0"/>
        <v>2024</v>
      </c>
      <c r="D27" s="23"/>
      <c r="E27" s="22"/>
      <c r="F27" s="24"/>
      <c r="G27" s="24"/>
      <c r="H27" s="24">
        <f t="shared" si="1"/>
        <v>5025</v>
      </c>
    </row>
    <row r="28" spans="1:8" ht="34.5" customHeight="1" x14ac:dyDescent="0.25">
      <c r="A28" s="25">
        <v>45329</v>
      </c>
      <c r="B28" s="22">
        <f>MONTH('cash book - Argenta'!$A28)</f>
        <v>2</v>
      </c>
      <c r="C28" s="23">
        <f t="shared" si="0"/>
        <v>2024</v>
      </c>
      <c r="D28" s="23"/>
      <c r="E28" s="22"/>
      <c r="F28" s="24"/>
      <c r="G28" s="24"/>
      <c r="H28" s="24">
        <f t="shared" si="1"/>
        <v>5025</v>
      </c>
    </row>
    <row r="29" spans="1:8" ht="34.5" customHeight="1" x14ac:dyDescent="0.25">
      <c r="A29" s="21">
        <v>45329</v>
      </c>
      <c r="B29" s="22">
        <f>MONTH('cash book - Argenta'!$A29)</f>
        <v>2</v>
      </c>
      <c r="C29" s="23">
        <f t="shared" si="0"/>
        <v>2024</v>
      </c>
      <c r="D29" s="23"/>
      <c r="E29" s="22"/>
      <c r="F29" s="24"/>
      <c r="G29" s="24"/>
      <c r="H29" s="24">
        <f t="shared" si="1"/>
        <v>5025</v>
      </c>
    </row>
    <row r="30" spans="1:8" ht="34.5" customHeight="1" x14ac:dyDescent="0.25">
      <c r="A30" s="25">
        <v>45330</v>
      </c>
      <c r="B30" s="22">
        <f>MONTH('cash book - Argenta'!$A30)</f>
        <v>2</v>
      </c>
      <c r="C30" s="23">
        <f t="shared" si="0"/>
        <v>2024</v>
      </c>
      <c r="D30" s="23"/>
      <c r="E30" s="22"/>
      <c r="F30" s="24"/>
      <c r="G30" s="24"/>
      <c r="H30" s="24">
        <f t="shared" si="1"/>
        <v>5025</v>
      </c>
    </row>
    <row r="31" spans="1:8" ht="34.5" customHeight="1" x14ac:dyDescent="0.25">
      <c r="A31" s="21">
        <v>45332</v>
      </c>
      <c r="B31" s="22">
        <f>MONTH('cash book - Argenta'!$A31)</f>
        <v>2</v>
      </c>
      <c r="C31" s="23">
        <f t="shared" si="0"/>
        <v>2024</v>
      </c>
      <c r="D31" s="23"/>
      <c r="E31" s="22"/>
      <c r="F31" s="24"/>
      <c r="G31" s="24"/>
      <c r="H31" s="24">
        <f t="shared" si="1"/>
        <v>5025</v>
      </c>
    </row>
    <row r="32" spans="1:8" ht="34.5" customHeight="1" x14ac:dyDescent="0.25">
      <c r="A32" s="25">
        <v>45334</v>
      </c>
      <c r="B32" s="22">
        <f>MONTH('cash book - Argenta'!$A32)</f>
        <v>2</v>
      </c>
      <c r="C32" s="23">
        <f t="shared" si="0"/>
        <v>2024</v>
      </c>
      <c r="D32" s="23"/>
      <c r="E32" s="22"/>
      <c r="F32" s="24"/>
      <c r="G32" s="24"/>
      <c r="H32" s="24">
        <f t="shared" si="1"/>
        <v>5025</v>
      </c>
    </row>
    <row r="33" spans="1:8" ht="34.5" customHeight="1" x14ac:dyDescent="0.25">
      <c r="A33" s="21">
        <v>45336</v>
      </c>
      <c r="B33" s="22">
        <f>MONTH('cash book - Argenta'!$A33)</f>
        <v>2</v>
      </c>
      <c r="C33" s="23">
        <f t="shared" si="0"/>
        <v>2024</v>
      </c>
      <c r="D33" s="23"/>
      <c r="E33" s="22"/>
      <c r="F33" s="24"/>
      <c r="G33" s="24"/>
      <c r="H33" s="24">
        <f t="shared" si="1"/>
        <v>5025</v>
      </c>
    </row>
    <row r="34" spans="1:8" ht="34.5" customHeight="1" x14ac:dyDescent="0.25">
      <c r="A34" s="25">
        <v>45337</v>
      </c>
      <c r="B34" s="22">
        <f>MONTH('cash book - Argenta'!$A34)</f>
        <v>2</v>
      </c>
      <c r="C34" s="23">
        <f t="shared" si="0"/>
        <v>2024</v>
      </c>
      <c r="D34" s="23"/>
      <c r="E34" s="22"/>
      <c r="F34" s="24"/>
      <c r="G34" s="24"/>
      <c r="H34" s="24">
        <f t="shared" si="1"/>
        <v>5025</v>
      </c>
    </row>
    <row r="35" spans="1:8" ht="34.5" customHeight="1" x14ac:dyDescent="0.25">
      <c r="A35" s="21">
        <v>45338</v>
      </c>
      <c r="B35" s="22">
        <f>MONTH('cash book - Argenta'!$A35)</f>
        <v>2</v>
      </c>
      <c r="C35" s="23">
        <f t="shared" si="0"/>
        <v>2024</v>
      </c>
      <c r="D35" s="23"/>
      <c r="E35" s="22"/>
      <c r="F35" s="24"/>
      <c r="G35" s="24"/>
      <c r="H35" s="24">
        <f t="shared" si="1"/>
        <v>5025</v>
      </c>
    </row>
    <row r="36" spans="1:8" ht="34.5" customHeight="1" x14ac:dyDescent="0.25">
      <c r="A36" s="25">
        <v>45339</v>
      </c>
      <c r="B36" s="22">
        <f>MONTH('cash book - Argenta'!$A36)</f>
        <v>2</v>
      </c>
      <c r="C36" s="23">
        <f t="shared" si="0"/>
        <v>2024</v>
      </c>
      <c r="D36" s="23"/>
      <c r="E36" s="22"/>
      <c r="F36" s="24"/>
      <c r="G36" s="24"/>
      <c r="H36" s="24">
        <f t="shared" si="1"/>
        <v>5025</v>
      </c>
    </row>
    <row r="37" spans="1:8" ht="34.5" customHeight="1" x14ac:dyDescent="0.25">
      <c r="A37" s="21">
        <v>45339</v>
      </c>
      <c r="B37" s="22">
        <f>MONTH('cash book - Argenta'!$A37)</f>
        <v>2</v>
      </c>
      <c r="C37" s="23">
        <f t="shared" si="0"/>
        <v>2024</v>
      </c>
      <c r="D37" s="23"/>
      <c r="E37" s="22"/>
      <c r="F37" s="24"/>
      <c r="G37" s="24"/>
      <c r="H37" s="24">
        <f t="shared" si="1"/>
        <v>5025</v>
      </c>
    </row>
    <row r="38" spans="1:8" ht="34.5" customHeight="1" x14ac:dyDescent="0.25">
      <c r="A38" s="25">
        <v>45340</v>
      </c>
      <c r="B38" s="22">
        <f>MONTH('cash book - Argenta'!$A38)</f>
        <v>2</v>
      </c>
      <c r="C38" s="23">
        <f t="shared" si="0"/>
        <v>2024</v>
      </c>
      <c r="D38" s="23"/>
      <c r="E38" s="22"/>
      <c r="F38" s="24"/>
      <c r="G38" s="24"/>
      <c r="H38" s="24">
        <f t="shared" si="1"/>
        <v>5025</v>
      </c>
    </row>
    <row r="39" spans="1:8" ht="34.5" customHeight="1" x14ac:dyDescent="0.25">
      <c r="A39" s="21">
        <v>45340</v>
      </c>
      <c r="B39" s="22">
        <f>MONTH('cash book - Argenta'!$A39)</f>
        <v>2</v>
      </c>
      <c r="C39" s="23">
        <f t="shared" si="0"/>
        <v>2024</v>
      </c>
      <c r="D39" s="23"/>
      <c r="E39" s="22"/>
      <c r="F39" s="24"/>
      <c r="G39" s="24"/>
      <c r="H39" s="24">
        <f t="shared" si="1"/>
        <v>5025</v>
      </c>
    </row>
    <row r="40" spans="1:8" ht="34.5" customHeight="1" x14ac:dyDescent="0.25">
      <c r="A40" s="25">
        <v>45341</v>
      </c>
      <c r="B40" s="22">
        <f>MONTH('cash book - Argenta'!$A40)</f>
        <v>2</v>
      </c>
      <c r="C40" s="23">
        <f t="shared" si="0"/>
        <v>2024</v>
      </c>
      <c r="D40" s="23"/>
      <c r="E40" s="22"/>
      <c r="F40" s="24"/>
      <c r="G40" s="24"/>
      <c r="H40" s="24">
        <f t="shared" si="1"/>
        <v>5025</v>
      </c>
    </row>
    <row r="41" spans="1:8" ht="34.5" customHeight="1" x14ac:dyDescent="0.25">
      <c r="A41" s="21">
        <v>45344</v>
      </c>
      <c r="B41" s="22">
        <f>MONTH('cash book - Argenta'!$A41)</f>
        <v>2</v>
      </c>
      <c r="C41" s="23">
        <f t="shared" si="0"/>
        <v>2024</v>
      </c>
      <c r="D41" s="23"/>
      <c r="E41" s="22"/>
      <c r="F41" s="24"/>
      <c r="G41" s="24"/>
      <c r="H41" s="24">
        <f t="shared" si="1"/>
        <v>5025</v>
      </c>
    </row>
    <row r="42" spans="1:8" ht="34.5" customHeight="1" x14ac:dyDescent="0.25">
      <c r="A42" s="25">
        <v>45344</v>
      </c>
      <c r="B42" s="22">
        <f>MONTH('cash book - Argenta'!$A42)</f>
        <v>2</v>
      </c>
      <c r="C42" s="23">
        <f t="shared" si="0"/>
        <v>2024</v>
      </c>
      <c r="D42" s="23"/>
      <c r="E42" s="22"/>
      <c r="F42" s="24"/>
      <c r="G42" s="24"/>
      <c r="H42" s="24">
        <f t="shared" si="1"/>
        <v>5025</v>
      </c>
    </row>
    <row r="43" spans="1:8" ht="34.5" customHeight="1" x14ac:dyDescent="0.25">
      <c r="A43" s="21">
        <v>45345</v>
      </c>
      <c r="B43" s="22">
        <f>MONTH('cash book - Argenta'!$A43)</f>
        <v>2</v>
      </c>
      <c r="C43" s="23">
        <f t="shared" si="0"/>
        <v>2024</v>
      </c>
      <c r="D43" s="23"/>
      <c r="E43" s="22"/>
      <c r="F43" s="24"/>
      <c r="G43" s="24"/>
      <c r="H43" s="24">
        <f t="shared" si="1"/>
        <v>5025</v>
      </c>
    </row>
    <row r="44" spans="1:8" ht="34.5" customHeight="1" x14ac:dyDescent="0.25">
      <c r="A44" s="25">
        <v>45345</v>
      </c>
      <c r="B44" s="22">
        <f>MONTH('cash book - Argenta'!$A44)</f>
        <v>2</v>
      </c>
      <c r="C44" s="23">
        <f t="shared" si="0"/>
        <v>2024</v>
      </c>
      <c r="D44" s="23"/>
      <c r="E44" s="22"/>
      <c r="F44" s="24"/>
      <c r="G44" s="24"/>
      <c r="H44" s="24">
        <f t="shared" si="1"/>
        <v>5025</v>
      </c>
    </row>
    <row r="45" spans="1:8" ht="34.5" customHeight="1" x14ac:dyDescent="0.25">
      <c r="A45" s="21">
        <v>45346</v>
      </c>
      <c r="B45" s="22">
        <f>MONTH('cash book - Argenta'!$A45)</f>
        <v>2</v>
      </c>
      <c r="C45" s="23">
        <f t="shared" si="0"/>
        <v>2024</v>
      </c>
      <c r="D45" s="23"/>
      <c r="E45" s="22"/>
      <c r="F45" s="24"/>
      <c r="G45" s="24"/>
      <c r="H45" s="24">
        <f t="shared" si="1"/>
        <v>5025</v>
      </c>
    </row>
    <row r="46" spans="1:8" ht="34.5" customHeight="1" x14ac:dyDescent="0.25">
      <c r="A46" s="25">
        <v>45346</v>
      </c>
      <c r="B46" s="22">
        <f>MONTH('cash book - Argenta'!$A46)</f>
        <v>2</v>
      </c>
      <c r="C46" s="23">
        <f t="shared" si="0"/>
        <v>2024</v>
      </c>
      <c r="D46" s="23"/>
      <c r="E46" s="22"/>
      <c r="F46" s="24"/>
      <c r="G46" s="24"/>
      <c r="H46" s="24">
        <f t="shared" si="1"/>
        <v>5025</v>
      </c>
    </row>
    <row r="47" spans="1:8" ht="34.5" customHeight="1" x14ac:dyDescent="0.25">
      <c r="A47" s="21">
        <v>45347</v>
      </c>
      <c r="B47" s="22">
        <f>MONTH('cash book - Argenta'!$A47)</f>
        <v>2</v>
      </c>
      <c r="C47" s="23">
        <f t="shared" si="0"/>
        <v>2024</v>
      </c>
      <c r="D47" s="23"/>
      <c r="E47" s="22"/>
      <c r="F47" s="24"/>
      <c r="G47" s="24"/>
      <c r="H47" s="24">
        <f t="shared" si="1"/>
        <v>5025</v>
      </c>
    </row>
    <row r="48" spans="1:8" ht="34.5" customHeight="1" x14ac:dyDescent="0.25">
      <c r="A48" s="25">
        <v>45348</v>
      </c>
      <c r="B48" s="22">
        <f>MONTH('cash book - Argenta'!$A48)</f>
        <v>2</v>
      </c>
      <c r="C48" s="23">
        <f t="shared" si="0"/>
        <v>2024</v>
      </c>
      <c r="D48" s="23"/>
      <c r="E48" s="22"/>
      <c r="F48" s="24"/>
      <c r="G48" s="24"/>
      <c r="H48" s="24">
        <f t="shared" si="1"/>
        <v>5025</v>
      </c>
    </row>
    <row r="49" spans="1:8" ht="34.5" customHeight="1" x14ac:dyDescent="0.25">
      <c r="A49" s="21">
        <v>45348</v>
      </c>
      <c r="B49" s="22">
        <f>MONTH('cash book - Argenta'!$A49)</f>
        <v>2</v>
      </c>
      <c r="C49" s="23">
        <f t="shared" si="0"/>
        <v>2024</v>
      </c>
      <c r="D49" s="23"/>
      <c r="E49" s="22"/>
      <c r="F49" s="24"/>
      <c r="G49" s="24"/>
      <c r="H49" s="24">
        <f t="shared" si="1"/>
        <v>5025</v>
      </c>
    </row>
    <row r="50" spans="1:8" ht="34.5" customHeight="1" x14ac:dyDescent="0.25">
      <c r="A50" s="25">
        <v>45348</v>
      </c>
      <c r="B50" s="22">
        <f>MONTH('cash book - Argenta'!$A50)</f>
        <v>2</v>
      </c>
      <c r="C50" s="23">
        <f t="shared" si="0"/>
        <v>2024</v>
      </c>
      <c r="D50" s="23"/>
      <c r="E50" s="22"/>
      <c r="F50" s="24"/>
      <c r="G50" s="24"/>
      <c r="H50" s="24">
        <f t="shared" si="1"/>
        <v>5025</v>
      </c>
    </row>
    <row r="51" spans="1:8" ht="34.5" customHeight="1" x14ac:dyDescent="0.25">
      <c r="A51" s="21">
        <v>45348</v>
      </c>
      <c r="B51" s="22">
        <f>MONTH('cash book - Argenta'!$A51)</f>
        <v>2</v>
      </c>
      <c r="C51" s="23">
        <f t="shared" si="0"/>
        <v>2024</v>
      </c>
      <c r="D51" s="23"/>
      <c r="E51" s="22"/>
      <c r="F51" s="24"/>
      <c r="G51" s="24"/>
      <c r="H51" s="24">
        <f t="shared" si="1"/>
        <v>5025</v>
      </c>
    </row>
    <row r="52" spans="1:8" ht="34.5" customHeight="1" x14ac:dyDescent="0.25">
      <c r="A52" s="25">
        <v>45348</v>
      </c>
      <c r="B52" s="22">
        <f>MONTH('cash book - Argenta'!$A52)</f>
        <v>2</v>
      </c>
      <c r="C52" s="23">
        <f t="shared" si="0"/>
        <v>2024</v>
      </c>
      <c r="D52" s="23"/>
      <c r="E52" s="22"/>
      <c r="F52" s="24"/>
      <c r="G52" s="24"/>
      <c r="H52" s="24">
        <f t="shared" si="1"/>
        <v>5025</v>
      </c>
    </row>
    <row r="53" spans="1:8" ht="34.5" customHeight="1" x14ac:dyDescent="0.25">
      <c r="A53" s="21">
        <v>45349</v>
      </c>
      <c r="B53" s="22">
        <f>MONTH('cash book - Argenta'!$A53)</f>
        <v>2</v>
      </c>
      <c r="C53" s="23">
        <f t="shared" si="0"/>
        <v>2024</v>
      </c>
      <c r="D53" s="23"/>
      <c r="E53" s="22"/>
      <c r="F53" s="24"/>
      <c r="G53" s="24"/>
      <c r="H53" s="24">
        <f t="shared" si="1"/>
        <v>5025</v>
      </c>
    </row>
    <row r="54" spans="1:8" ht="34.5" customHeight="1" x14ac:dyDescent="0.25">
      <c r="A54" s="25">
        <v>45350</v>
      </c>
      <c r="B54" s="22">
        <f>MONTH('cash book - Argenta'!$A54)</f>
        <v>2</v>
      </c>
      <c r="C54" s="23">
        <f t="shared" si="0"/>
        <v>2024</v>
      </c>
      <c r="D54" s="23"/>
      <c r="E54" s="22"/>
      <c r="F54" s="24"/>
      <c r="G54" s="24"/>
      <c r="H54" s="24">
        <f t="shared" si="1"/>
        <v>5025</v>
      </c>
    </row>
    <row r="55" spans="1:8" ht="34.5" customHeight="1" x14ac:dyDescent="0.25">
      <c r="A55" s="21">
        <v>45350</v>
      </c>
      <c r="B55" s="22">
        <f>MONTH('cash book - Argenta'!$A55)</f>
        <v>2</v>
      </c>
      <c r="C55" s="23">
        <f t="shared" si="0"/>
        <v>2024</v>
      </c>
      <c r="D55" s="23"/>
      <c r="E55" s="22"/>
      <c r="F55" s="24"/>
      <c r="G55" s="24"/>
      <c r="H55" s="24">
        <f t="shared" si="1"/>
        <v>5025</v>
      </c>
    </row>
    <row r="56" spans="1:8" ht="34.5" customHeight="1" x14ac:dyDescent="0.25">
      <c r="A56" s="25">
        <v>45352</v>
      </c>
      <c r="B56" s="22">
        <f>MONTH('cash book - Argenta'!$A56)</f>
        <v>3</v>
      </c>
      <c r="C56" s="23">
        <f t="shared" si="0"/>
        <v>2024</v>
      </c>
      <c r="D56" s="23"/>
      <c r="E56" s="22"/>
      <c r="F56" s="24"/>
      <c r="G56" s="24"/>
      <c r="H56" s="24">
        <f t="shared" si="1"/>
        <v>5025</v>
      </c>
    </row>
    <row r="57" spans="1:8" ht="34.5" customHeight="1" x14ac:dyDescent="0.25">
      <c r="A57" s="21">
        <v>45353</v>
      </c>
      <c r="B57" s="22">
        <f>MONTH('cash book - Argenta'!$A57)</f>
        <v>3</v>
      </c>
      <c r="C57" s="23">
        <f t="shared" si="0"/>
        <v>2024</v>
      </c>
      <c r="D57" s="23"/>
      <c r="E57" s="22"/>
      <c r="F57" s="24"/>
      <c r="G57" s="24"/>
      <c r="H57" s="24">
        <f t="shared" si="1"/>
        <v>5025</v>
      </c>
    </row>
    <row r="58" spans="1:8" ht="34.5" customHeight="1" x14ac:dyDescent="0.25">
      <c r="A58" s="25">
        <v>45355</v>
      </c>
      <c r="B58" s="22">
        <f>MONTH('cash book - Argenta'!$A58)</f>
        <v>3</v>
      </c>
      <c r="C58" s="23">
        <f t="shared" si="0"/>
        <v>2024</v>
      </c>
      <c r="D58" s="23"/>
      <c r="E58" s="22"/>
      <c r="F58" s="24"/>
      <c r="G58" s="24"/>
      <c r="H58" s="24">
        <f t="shared" si="1"/>
        <v>5025</v>
      </c>
    </row>
    <row r="59" spans="1:8" ht="34.5" customHeight="1" x14ac:dyDescent="0.25">
      <c r="A59" s="21">
        <v>45355</v>
      </c>
      <c r="B59" s="22">
        <f>MONTH('cash book - Argenta'!$A59)</f>
        <v>3</v>
      </c>
      <c r="C59" s="23">
        <f t="shared" si="0"/>
        <v>2024</v>
      </c>
      <c r="D59" s="23"/>
      <c r="E59" s="22"/>
      <c r="F59" s="24"/>
      <c r="G59" s="24"/>
      <c r="H59" s="24">
        <f t="shared" si="1"/>
        <v>5025</v>
      </c>
    </row>
    <row r="60" spans="1:8" ht="34.5" customHeight="1" x14ac:dyDescent="0.25">
      <c r="A60" s="25">
        <v>45359</v>
      </c>
      <c r="B60" s="22">
        <f>MONTH('cash book - Argenta'!$A60)</f>
        <v>3</v>
      </c>
      <c r="C60" s="23">
        <f t="shared" si="0"/>
        <v>2024</v>
      </c>
      <c r="D60" s="23"/>
      <c r="E60" s="22"/>
      <c r="F60" s="24"/>
      <c r="G60" s="24"/>
      <c r="H60" s="24">
        <f t="shared" si="1"/>
        <v>5025</v>
      </c>
    </row>
    <row r="61" spans="1:8" ht="34.5" customHeight="1" x14ac:dyDescent="0.25">
      <c r="A61" s="21">
        <v>45360</v>
      </c>
      <c r="B61" s="22">
        <f>MONTH('cash book - Argenta'!$A61)</f>
        <v>3</v>
      </c>
      <c r="C61" s="23">
        <f t="shared" si="0"/>
        <v>2024</v>
      </c>
      <c r="D61" s="23"/>
      <c r="E61" s="22"/>
      <c r="F61" s="24"/>
      <c r="G61" s="24"/>
      <c r="H61" s="24">
        <f t="shared" si="1"/>
        <v>5025</v>
      </c>
    </row>
    <row r="62" spans="1:8" ht="34.5" customHeight="1" x14ac:dyDescent="0.25">
      <c r="A62" s="25">
        <v>45360</v>
      </c>
      <c r="B62" s="22">
        <f>MONTH('cash book - Argenta'!$A62)</f>
        <v>3</v>
      </c>
      <c r="C62" s="23">
        <f t="shared" si="0"/>
        <v>2024</v>
      </c>
      <c r="D62" s="23"/>
      <c r="E62" s="22"/>
      <c r="F62" s="24"/>
      <c r="G62" s="24"/>
      <c r="H62" s="24">
        <f t="shared" si="1"/>
        <v>5025</v>
      </c>
    </row>
    <row r="63" spans="1:8" ht="34.5" customHeight="1" x14ac:dyDescent="0.25">
      <c r="A63" s="21">
        <v>45361</v>
      </c>
      <c r="B63" s="22">
        <f>MONTH('cash book - Argenta'!$A63)</f>
        <v>3</v>
      </c>
      <c r="C63" s="23">
        <f t="shared" si="0"/>
        <v>2024</v>
      </c>
      <c r="D63" s="23"/>
      <c r="E63" s="22"/>
      <c r="F63" s="24"/>
      <c r="G63" s="24"/>
      <c r="H63" s="24">
        <f t="shared" si="1"/>
        <v>5025</v>
      </c>
    </row>
    <row r="64" spans="1:8" ht="34.5" customHeight="1" x14ac:dyDescent="0.25">
      <c r="A64" s="25">
        <v>45362</v>
      </c>
      <c r="B64" s="22">
        <f>MONTH('cash book - Argenta'!$A64)</f>
        <v>3</v>
      </c>
      <c r="C64" s="23">
        <f t="shared" si="0"/>
        <v>2024</v>
      </c>
      <c r="D64" s="23"/>
      <c r="E64" s="22"/>
      <c r="F64" s="24"/>
      <c r="G64" s="24"/>
      <c r="H64" s="24">
        <f t="shared" si="1"/>
        <v>5025</v>
      </c>
    </row>
    <row r="65" spans="1:8" ht="34.5" customHeight="1" x14ac:dyDescent="0.25">
      <c r="A65" s="21">
        <v>45362</v>
      </c>
      <c r="B65" s="22">
        <f>MONTH('cash book - Argenta'!$A65)</f>
        <v>3</v>
      </c>
      <c r="C65" s="23">
        <f t="shared" si="0"/>
        <v>2024</v>
      </c>
      <c r="D65" s="23"/>
      <c r="E65" s="22"/>
      <c r="F65" s="24"/>
      <c r="G65" s="24"/>
      <c r="H65" s="24">
        <f t="shared" si="1"/>
        <v>5025</v>
      </c>
    </row>
    <row r="66" spans="1:8" ht="34.5" customHeight="1" x14ac:dyDescent="0.25">
      <c r="A66" s="25">
        <v>45363</v>
      </c>
      <c r="B66" s="22">
        <f>MONTH('cash book - Argenta'!$A66)</f>
        <v>3</v>
      </c>
      <c r="C66" s="23">
        <f t="shared" si="0"/>
        <v>2024</v>
      </c>
      <c r="D66" s="23"/>
      <c r="E66" s="22"/>
      <c r="F66" s="24"/>
      <c r="G66" s="24"/>
      <c r="H66" s="24">
        <f t="shared" si="1"/>
        <v>5025</v>
      </c>
    </row>
    <row r="67" spans="1:8" ht="34.5" customHeight="1" x14ac:dyDescent="0.25">
      <c r="A67" s="21">
        <v>45365</v>
      </c>
      <c r="B67" s="22">
        <f>MONTH('cash book - Argenta'!$A67)</f>
        <v>3</v>
      </c>
      <c r="C67" s="23">
        <f t="shared" si="0"/>
        <v>2024</v>
      </c>
      <c r="D67" s="23"/>
      <c r="E67" s="22"/>
      <c r="F67" s="24"/>
      <c r="G67" s="24"/>
      <c r="H67" s="24">
        <f t="shared" si="1"/>
        <v>5025</v>
      </c>
    </row>
    <row r="68" spans="1:8" ht="34.5" customHeight="1" x14ac:dyDescent="0.25">
      <c r="A68" s="25">
        <v>45366</v>
      </c>
      <c r="B68" s="22">
        <f>MONTH('cash book - Argenta'!$A68)</f>
        <v>3</v>
      </c>
      <c r="C68" s="23">
        <f t="shared" si="0"/>
        <v>2024</v>
      </c>
      <c r="D68" s="23"/>
      <c r="E68" s="22"/>
      <c r="F68" s="24"/>
      <c r="G68" s="24"/>
      <c r="H68" s="24">
        <f t="shared" si="1"/>
        <v>5025</v>
      </c>
    </row>
    <row r="69" spans="1:8" ht="34.5" customHeight="1" x14ac:dyDescent="0.25">
      <c r="A69" s="21">
        <v>45367</v>
      </c>
      <c r="B69" s="22">
        <f>MONTH('cash book - Argenta'!$A69)</f>
        <v>3</v>
      </c>
      <c r="C69" s="23">
        <f t="shared" si="0"/>
        <v>2024</v>
      </c>
      <c r="D69" s="23"/>
      <c r="E69" s="22"/>
      <c r="F69" s="24"/>
      <c r="G69" s="24"/>
      <c r="H69" s="24">
        <f t="shared" si="1"/>
        <v>5025</v>
      </c>
    </row>
    <row r="70" spans="1:8" ht="34.5" customHeight="1" x14ac:dyDescent="0.25">
      <c r="A70" s="25">
        <v>45368</v>
      </c>
      <c r="B70" s="22">
        <f>MONTH('cash book - Argenta'!$A70)</f>
        <v>3</v>
      </c>
      <c r="C70" s="23">
        <f t="shared" si="0"/>
        <v>2024</v>
      </c>
      <c r="D70" s="23"/>
      <c r="E70" s="22"/>
      <c r="F70" s="24"/>
      <c r="G70" s="24"/>
      <c r="H70" s="24">
        <f t="shared" si="1"/>
        <v>5025</v>
      </c>
    </row>
    <row r="71" spans="1:8" ht="34.5" customHeight="1" x14ac:dyDescent="0.25">
      <c r="A71" s="21">
        <v>45371</v>
      </c>
      <c r="B71" s="22">
        <f>MONTH('cash book - Argenta'!$A71)</f>
        <v>3</v>
      </c>
      <c r="C71" s="23">
        <f t="shared" si="0"/>
        <v>2024</v>
      </c>
      <c r="D71" s="23"/>
      <c r="E71" s="22"/>
      <c r="F71" s="24"/>
      <c r="G71" s="24"/>
      <c r="H71" s="24">
        <f t="shared" si="1"/>
        <v>5025</v>
      </c>
    </row>
    <row r="72" spans="1:8" ht="34.5" customHeight="1" x14ac:dyDescent="0.25">
      <c r="A72" s="25">
        <v>45373</v>
      </c>
      <c r="B72" s="22">
        <f>MONTH('cash book - Argenta'!$A72)</f>
        <v>3</v>
      </c>
      <c r="C72" s="23">
        <f t="shared" si="0"/>
        <v>2024</v>
      </c>
      <c r="D72" s="23"/>
      <c r="E72" s="22"/>
      <c r="F72" s="24"/>
      <c r="G72" s="24"/>
      <c r="H72" s="24">
        <f t="shared" si="1"/>
        <v>5025</v>
      </c>
    </row>
    <row r="73" spans="1:8" ht="34.5" customHeight="1" x14ac:dyDescent="0.25">
      <c r="A73" s="21">
        <v>45375</v>
      </c>
      <c r="B73" s="22">
        <f>MONTH('cash book - Argenta'!$A73)</f>
        <v>3</v>
      </c>
      <c r="C73" s="23">
        <f t="shared" si="0"/>
        <v>2024</v>
      </c>
      <c r="D73" s="23"/>
      <c r="E73" s="22"/>
      <c r="F73" s="24"/>
      <c r="G73" s="24"/>
      <c r="H73" s="24">
        <f t="shared" si="1"/>
        <v>5025</v>
      </c>
    </row>
    <row r="74" spans="1:8" ht="34.5" customHeight="1" x14ac:dyDescent="0.25">
      <c r="A74" s="25">
        <v>45376</v>
      </c>
      <c r="B74" s="22">
        <f>MONTH('cash book - Argenta'!$A74)</f>
        <v>3</v>
      </c>
      <c r="C74" s="23">
        <f t="shared" si="0"/>
        <v>2024</v>
      </c>
      <c r="D74" s="23"/>
      <c r="E74" s="22"/>
      <c r="F74" s="24"/>
      <c r="G74" s="24"/>
      <c r="H74" s="24">
        <f t="shared" si="1"/>
        <v>5025</v>
      </c>
    </row>
    <row r="75" spans="1:8" ht="34.5" customHeight="1" x14ac:dyDescent="0.25">
      <c r="A75" s="21">
        <v>45376</v>
      </c>
      <c r="B75" s="22">
        <f>MONTH('cash book - Argenta'!$A75)</f>
        <v>3</v>
      </c>
      <c r="C75" s="23">
        <f t="shared" si="0"/>
        <v>2024</v>
      </c>
      <c r="D75" s="23"/>
      <c r="E75" s="22"/>
      <c r="F75" s="24"/>
      <c r="G75" s="24"/>
      <c r="H75" s="24">
        <f t="shared" si="1"/>
        <v>5025</v>
      </c>
    </row>
    <row r="76" spans="1:8" ht="34.5" customHeight="1" x14ac:dyDescent="0.25">
      <c r="A76" s="25">
        <v>45378</v>
      </c>
      <c r="B76" s="22">
        <f>MONTH('cash book - Argenta'!$A76)</f>
        <v>3</v>
      </c>
      <c r="C76" s="23">
        <f t="shared" si="0"/>
        <v>2024</v>
      </c>
      <c r="D76" s="23"/>
      <c r="E76" s="22"/>
      <c r="F76" s="24"/>
      <c r="G76" s="24"/>
      <c r="H76" s="24">
        <f t="shared" si="1"/>
        <v>5025</v>
      </c>
    </row>
    <row r="77" spans="1:8" ht="34.5" customHeight="1" x14ac:dyDescent="0.25">
      <c r="A77" s="21">
        <v>45378</v>
      </c>
      <c r="B77" s="22">
        <f>MONTH('cash book - Argenta'!$A77)</f>
        <v>3</v>
      </c>
      <c r="C77" s="23">
        <f t="shared" si="0"/>
        <v>2024</v>
      </c>
      <c r="D77" s="23"/>
      <c r="E77" s="22"/>
      <c r="F77" s="24"/>
      <c r="G77" s="24"/>
      <c r="H77" s="24">
        <f t="shared" si="1"/>
        <v>5025</v>
      </c>
    </row>
    <row r="78" spans="1:8" ht="34.5" customHeight="1" x14ac:dyDescent="0.25">
      <c r="A78" s="25">
        <v>45381</v>
      </c>
      <c r="B78" s="22">
        <f>MONTH('cash book - Argenta'!$A78)</f>
        <v>3</v>
      </c>
      <c r="C78" s="23">
        <f t="shared" si="0"/>
        <v>2024</v>
      </c>
      <c r="D78" s="23"/>
      <c r="E78" s="22"/>
      <c r="F78" s="24"/>
      <c r="G78" s="24"/>
      <c r="H78" s="24">
        <f t="shared" si="1"/>
        <v>5025</v>
      </c>
    </row>
    <row r="79" spans="1:8" ht="34.5" customHeight="1" x14ac:dyDescent="0.25">
      <c r="A79" s="21">
        <v>45381</v>
      </c>
      <c r="B79" s="22">
        <f>MONTH('cash book - Argenta'!$A79)</f>
        <v>3</v>
      </c>
      <c r="C79" s="23">
        <f t="shared" si="0"/>
        <v>2024</v>
      </c>
      <c r="D79" s="23"/>
      <c r="E79" s="22"/>
      <c r="F79" s="24"/>
      <c r="G79" s="24"/>
      <c r="H79" s="24">
        <f t="shared" si="1"/>
        <v>5025</v>
      </c>
    </row>
    <row r="80" spans="1:8" ht="34.5" customHeight="1" x14ac:dyDescent="0.25">
      <c r="A80" s="25">
        <v>45383</v>
      </c>
      <c r="B80" s="22">
        <f>MONTH('cash book - Argenta'!$A80)</f>
        <v>4</v>
      </c>
      <c r="C80" s="23">
        <f t="shared" si="0"/>
        <v>2024</v>
      </c>
      <c r="D80" s="23"/>
      <c r="E80" s="22"/>
      <c r="F80" s="24"/>
      <c r="G80" s="24"/>
      <c r="H80" s="24">
        <f t="shared" si="1"/>
        <v>5025</v>
      </c>
    </row>
    <row r="81" spans="1:8" ht="34.5" customHeight="1" x14ac:dyDescent="0.25">
      <c r="A81" s="21">
        <v>45384</v>
      </c>
      <c r="B81" s="22">
        <f>MONTH('cash book - Argenta'!$A81)</f>
        <v>4</v>
      </c>
      <c r="C81" s="23">
        <f t="shared" si="0"/>
        <v>2024</v>
      </c>
      <c r="D81" s="23"/>
      <c r="E81" s="22"/>
      <c r="F81" s="24"/>
      <c r="G81" s="24"/>
      <c r="H81" s="24">
        <f t="shared" si="1"/>
        <v>5025</v>
      </c>
    </row>
    <row r="82" spans="1:8" ht="34.5" customHeight="1" x14ac:dyDescent="0.25">
      <c r="A82" s="25">
        <v>45388</v>
      </c>
      <c r="B82" s="22">
        <f>MONTH('cash book - Argenta'!$A82)</f>
        <v>4</v>
      </c>
      <c r="C82" s="23">
        <f t="shared" si="0"/>
        <v>2024</v>
      </c>
      <c r="D82" s="23"/>
      <c r="E82" s="22"/>
      <c r="F82" s="24"/>
      <c r="G82" s="24"/>
      <c r="H82" s="24">
        <f t="shared" si="1"/>
        <v>5025</v>
      </c>
    </row>
    <row r="83" spans="1:8" ht="34.5" customHeight="1" x14ac:dyDescent="0.25">
      <c r="A83" s="21">
        <v>45388</v>
      </c>
      <c r="B83" s="22">
        <f>MONTH('cash book - Argenta'!$A83)</f>
        <v>4</v>
      </c>
      <c r="C83" s="23">
        <f t="shared" si="0"/>
        <v>2024</v>
      </c>
      <c r="D83" s="23"/>
      <c r="E83" s="22"/>
      <c r="F83" s="24"/>
      <c r="G83" s="24"/>
      <c r="H83" s="24">
        <f t="shared" si="1"/>
        <v>5025</v>
      </c>
    </row>
    <row r="84" spans="1:8" ht="34.5" customHeight="1" x14ac:dyDescent="0.25">
      <c r="A84" s="25">
        <v>45388</v>
      </c>
      <c r="B84" s="22">
        <f>MONTH('cash book - Argenta'!$A84)</f>
        <v>4</v>
      </c>
      <c r="C84" s="23">
        <f t="shared" si="0"/>
        <v>2024</v>
      </c>
      <c r="D84" s="23"/>
      <c r="E84" s="22"/>
      <c r="F84" s="24"/>
      <c r="G84" s="24"/>
      <c r="H84" s="24">
        <f t="shared" si="1"/>
        <v>5025</v>
      </c>
    </row>
    <row r="85" spans="1:8" ht="34.5" customHeight="1" x14ac:dyDescent="0.25">
      <c r="A85" s="21">
        <v>45389</v>
      </c>
      <c r="B85" s="22">
        <f>MONTH('cash book - Argenta'!$A85)</f>
        <v>4</v>
      </c>
      <c r="C85" s="23">
        <f t="shared" si="0"/>
        <v>2024</v>
      </c>
      <c r="D85" s="23"/>
      <c r="E85" s="22"/>
      <c r="F85" s="24"/>
      <c r="G85" s="24"/>
      <c r="H85" s="24">
        <f t="shared" si="1"/>
        <v>5025</v>
      </c>
    </row>
    <row r="86" spans="1:8" ht="34.5" customHeight="1" x14ac:dyDescent="0.25">
      <c r="A86" s="25">
        <v>45391</v>
      </c>
      <c r="B86" s="22">
        <f>MONTH('cash book - Argenta'!$A86)</f>
        <v>4</v>
      </c>
      <c r="C86" s="23">
        <f t="shared" si="0"/>
        <v>2024</v>
      </c>
      <c r="D86" s="23"/>
      <c r="E86" s="22"/>
      <c r="F86" s="24"/>
      <c r="G86" s="24"/>
      <c r="H86" s="24">
        <f t="shared" si="1"/>
        <v>5025</v>
      </c>
    </row>
    <row r="87" spans="1:8" ht="34.5" customHeight="1" x14ac:dyDescent="0.25">
      <c r="A87" s="21">
        <v>45395</v>
      </c>
      <c r="B87" s="22">
        <f>MONTH('cash book - Argenta'!$A87)</f>
        <v>4</v>
      </c>
      <c r="C87" s="23">
        <f t="shared" si="0"/>
        <v>2024</v>
      </c>
      <c r="D87" s="23"/>
      <c r="E87" s="22"/>
      <c r="F87" s="24"/>
      <c r="G87" s="24"/>
      <c r="H87" s="24">
        <f t="shared" si="1"/>
        <v>5025</v>
      </c>
    </row>
    <row r="88" spans="1:8" ht="34.5" customHeight="1" x14ac:dyDescent="0.25">
      <c r="A88" s="25">
        <v>45395</v>
      </c>
      <c r="B88" s="22">
        <f>MONTH('cash book - Argenta'!$A88)</f>
        <v>4</v>
      </c>
      <c r="C88" s="23">
        <f t="shared" si="0"/>
        <v>2024</v>
      </c>
      <c r="D88" s="23"/>
      <c r="E88" s="22"/>
      <c r="F88" s="24"/>
      <c r="G88" s="24"/>
      <c r="H88" s="24">
        <f t="shared" si="1"/>
        <v>5025</v>
      </c>
    </row>
    <row r="89" spans="1:8" ht="34.5" customHeight="1" x14ac:dyDescent="0.25">
      <c r="A89" s="21">
        <v>45397</v>
      </c>
      <c r="B89" s="22">
        <f>MONTH('cash book - Argenta'!$A89)</f>
        <v>4</v>
      </c>
      <c r="C89" s="23">
        <f t="shared" si="0"/>
        <v>2024</v>
      </c>
      <c r="D89" s="23"/>
      <c r="E89" s="22"/>
      <c r="F89" s="24"/>
      <c r="G89" s="24"/>
      <c r="H89" s="24">
        <f t="shared" si="1"/>
        <v>5025</v>
      </c>
    </row>
    <row r="90" spans="1:8" ht="34.5" customHeight="1" x14ac:dyDescent="0.25">
      <c r="A90" s="25">
        <v>45401</v>
      </c>
      <c r="B90" s="22">
        <f>MONTH('cash book - Argenta'!$A90)</f>
        <v>4</v>
      </c>
      <c r="C90" s="23">
        <f t="shared" si="0"/>
        <v>2024</v>
      </c>
      <c r="D90" s="23"/>
      <c r="E90" s="22"/>
      <c r="F90" s="24"/>
      <c r="G90" s="24"/>
      <c r="H90" s="24">
        <f t="shared" si="1"/>
        <v>5025</v>
      </c>
    </row>
    <row r="91" spans="1:8" ht="34.5" customHeight="1" x14ac:dyDescent="0.25">
      <c r="A91" s="21">
        <v>45403</v>
      </c>
      <c r="B91" s="22">
        <f>MONTH('cash book - Argenta'!$A91)</f>
        <v>4</v>
      </c>
      <c r="C91" s="23">
        <f t="shared" si="0"/>
        <v>2024</v>
      </c>
      <c r="D91" s="23"/>
      <c r="E91" s="22"/>
      <c r="F91" s="24"/>
      <c r="G91" s="24"/>
      <c r="H91" s="24">
        <f t="shared" si="1"/>
        <v>5025</v>
      </c>
    </row>
    <row r="92" spans="1:8" ht="34.5" customHeight="1" x14ac:dyDescent="0.25">
      <c r="A92" s="25">
        <v>45404</v>
      </c>
      <c r="B92" s="22">
        <f>MONTH('cash book - Argenta'!$A92)</f>
        <v>4</v>
      </c>
      <c r="C92" s="23">
        <f t="shared" si="0"/>
        <v>2024</v>
      </c>
      <c r="D92" s="23"/>
      <c r="E92" s="22"/>
      <c r="F92" s="24"/>
      <c r="G92" s="24"/>
      <c r="H92" s="24">
        <f t="shared" si="1"/>
        <v>5025</v>
      </c>
    </row>
    <row r="93" spans="1:8" ht="34.5" customHeight="1" x14ac:dyDescent="0.25">
      <c r="A93" s="21">
        <v>45404</v>
      </c>
      <c r="B93" s="22">
        <f>MONTH('cash book - Argenta'!$A93)</f>
        <v>4</v>
      </c>
      <c r="C93" s="23">
        <f t="shared" si="0"/>
        <v>2024</v>
      </c>
      <c r="D93" s="23"/>
      <c r="E93" s="22"/>
      <c r="F93" s="24"/>
      <c r="G93" s="24"/>
      <c r="H93" s="24">
        <f t="shared" si="1"/>
        <v>5025</v>
      </c>
    </row>
    <row r="94" spans="1:8" ht="34.5" customHeight="1" x14ac:dyDescent="0.25">
      <c r="A94" s="25">
        <v>45404</v>
      </c>
      <c r="B94" s="22">
        <f>MONTH('cash book - Argenta'!$A94)</f>
        <v>4</v>
      </c>
      <c r="C94" s="23">
        <f t="shared" si="0"/>
        <v>2024</v>
      </c>
      <c r="D94" s="23"/>
      <c r="E94" s="22"/>
      <c r="F94" s="24"/>
      <c r="G94" s="24"/>
      <c r="H94" s="24">
        <f t="shared" si="1"/>
        <v>5025</v>
      </c>
    </row>
    <row r="95" spans="1:8" ht="34.5" customHeight="1" x14ac:dyDescent="0.25">
      <c r="A95" s="21">
        <v>45407</v>
      </c>
      <c r="B95" s="22">
        <f>MONTH('cash book - Argenta'!$A95)</f>
        <v>4</v>
      </c>
      <c r="C95" s="23">
        <f t="shared" si="0"/>
        <v>2024</v>
      </c>
      <c r="D95" s="23"/>
      <c r="E95" s="22"/>
      <c r="F95" s="24"/>
      <c r="G95" s="24"/>
      <c r="H95" s="24">
        <f>H94+'cash book - Argenta'!$F95-'cash book - Argenta'!$G95</f>
        <v>5025</v>
      </c>
    </row>
    <row r="96" spans="1:8" ht="34.5" customHeight="1" x14ac:dyDescent="0.25">
      <c r="A96" s="25">
        <v>45408</v>
      </c>
      <c r="B96" s="22">
        <f>MONTH('cash book - Argenta'!$A96)</f>
        <v>4</v>
      </c>
      <c r="C96" s="23">
        <f t="shared" si="0"/>
        <v>2024</v>
      </c>
      <c r="D96" s="23"/>
      <c r="E96" s="22"/>
      <c r="F96" s="24"/>
      <c r="G96" s="24"/>
      <c r="H96" s="24">
        <f>H95+'cash book - Argenta'!$F96-'cash book - Argenta'!$G96</f>
        <v>5025</v>
      </c>
    </row>
    <row r="97" spans="1:8" ht="34.5" customHeight="1" x14ac:dyDescent="0.25">
      <c r="A97" s="21">
        <v>45409</v>
      </c>
      <c r="B97" s="22">
        <f>MONTH('cash book - Argenta'!$A97)</f>
        <v>4</v>
      </c>
      <c r="C97" s="23">
        <f t="shared" si="0"/>
        <v>2024</v>
      </c>
      <c r="D97" s="23"/>
      <c r="E97" s="22"/>
      <c r="F97" s="24"/>
      <c r="G97" s="24"/>
      <c r="H97" s="24">
        <f>H96+'cash book - Argenta'!$F97-'cash book - Argenta'!$G97</f>
        <v>5025</v>
      </c>
    </row>
    <row r="98" spans="1:8" ht="34.5" customHeight="1" x14ac:dyDescent="0.25">
      <c r="A98" s="25">
        <v>45409</v>
      </c>
      <c r="B98" s="22">
        <f>MONTH('cash book - Argenta'!$A98)</f>
        <v>4</v>
      </c>
      <c r="C98" s="23">
        <f t="shared" si="0"/>
        <v>2024</v>
      </c>
      <c r="D98" s="23"/>
      <c r="E98" s="22"/>
      <c r="F98" s="24"/>
      <c r="G98" s="24"/>
      <c r="H98" s="24">
        <f>H97+'cash book - Argenta'!$F98-'cash book - Argenta'!$G98</f>
        <v>5025</v>
      </c>
    </row>
    <row r="99" spans="1:8" ht="34.5" customHeight="1" x14ac:dyDescent="0.25">
      <c r="A99" s="21">
        <v>45409</v>
      </c>
      <c r="B99" s="22">
        <f>MONTH('cash book - Argenta'!$A99)</f>
        <v>4</v>
      </c>
      <c r="C99" s="23">
        <f t="shared" si="0"/>
        <v>2024</v>
      </c>
      <c r="D99" s="23"/>
      <c r="E99" s="22"/>
      <c r="F99" s="24"/>
      <c r="G99" s="24"/>
      <c r="H99" s="24">
        <f>H98+'cash book - Argenta'!$F99-'cash book - Argenta'!$G99</f>
        <v>5025</v>
      </c>
    </row>
    <row r="100" spans="1:8" ht="34.5" customHeight="1" x14ac:dyDescent="0.25">
      <c r="A100" s="25">
        <v>45409</v>
      </c>
      <c r="B100" s="22">
        <f>MONTH('cash book - Argenta'!$A100)</f>
        <v>4</v>
      </c>
      <c r="C100" s="23">
        <f t="shared" si="0"/>
        <v>2024</v>
      </c>
      <c r="D100" s="23"/>
      <c r="E100" s="22"/>
      <c r="F100" s="24"/>
      <c r="G100" s="24"/>
      <c r="H100" s="24">
        <f>H99+'cash book - Argenta'!$F100-'cash book - Argenta'!$G100</f>
        <v>5025</v>
      </c>
    </row>
    <row r="101" spans="1:8" ht="34.5" customHeight="1" x14ac:dyDescent="0.25">
      <c r="A101" s="21">
        <v>45409</v>
      </c>
      <c r="B101" s="22">
        <f>MONTH('cash book - Argenta'!$A101)</f>
        <v>4</v>
      </c>
      <c r="C101" s="23">
        <f t="shared" si="0"/>
        <v>2024</v>
      </c>
      <c r="D101" s="23"/>
      <c r="E101" s="22"/>
      <c r="F101" s="24"/>
      <c r="G101" s="24"/>
      <c r="H101" s="24">
        <f>H100+'cash book - Argenta'!$F101-'cash book - Argenta'!$G101</f>
        <v>5025</v>
      </c>
    </row>
    <row r="102" spans="1:8" ht="34.5" customHeight="1" x14ac:dyDescent="0.25">
      <c r="A102" s="25">
        <v>45409</v>
      </c>
      <c r="B102" s="22">
        <f>MONTH('cash book - Argenta'!$A102)</f>
        <v>4</v>
      </c>
      <c r="C102" s="23">
        <f t="shared" si="0"/>
        <v>2024</v>
      </c>
      <c r="D102" s="23"/>
      <c r="E102" s="22"/>
      <c r="F102" s="24"/>
      <c r="G102" s="24"/>
      <c r="H102" s="24">
        <f>H101+'cash book - Argenta'!$F102-'cash book - Argenta'!$G102</f>
        <v>5025</v>
      </c>
    </row>
    <row r="103" spans="1:8" ht="34.5" customHeight="1" x14ac:dyDescent="0.25">
      <c r="A103" s="21">
        <v>45410</v>
      </c>
      <c r="B103" s="22">
        <f>MONTH('cash book - Argenta'!$A103)</f>
        <v>4</v>
      </c>
      <c r="C103" s="23">
        <f t="shared" si="0"/>
        <v>2024</v>
      </c>
      <c r="D103" s="23"/>
      <c r="E103" s="22"/>
      <c r="F103" s="24"/>
      <c r="G103" s="24"/>
      <c r="H103" s="24">
        <f>H102+'cash book - Argenta'!$F103-'cash book - Argenta'!$G103</f>
        <v>5025</v>
      </c>
    </row>
    <row r="104" spans="1:8" ht="34.5" customHeight="1" x14ac:dyDescent="0.25">
      <c r="A104" s="25">
        <v>45410</v>
      </c>
      <c r="B104" s="22">
        <f>MONTH('cash book - Argenta'!$A104)</f>
        <v>4</v>
      </c>
      <c r="C104" s="23">
        <f t="shared" si="0"/>
        <v>2024</v>
      </c>
      <c r="D104" s="23"/>
      <c r="E104" s="22"/>
      <c r="F104" s="24"/>
      <c r="G104" s="24"/>
      <c r="H104" s="24">
        <f>H103+'cash book - Argenta'!$F104-'cash book - Argenta'!$G104</f>
        <v>5025</v>
      </c>
    </row>
    <row r="105" spans="1:8" ht="34.5" customHeight="1" x14ac:dyDescent="0.25">
      <c r="A105" s="21">
        <v>45411</v>
      </c>
      <c r="B105" s="22">
        <f>MONTH('cash book - Argenta'!$A105)</f>
        <v>4</v>
      </c>
      <c r="C105" s="23">
        <f t="shared" si="0"/>
        <v>2024</v>
      </c>
      <c r="D105" s="23"/>
      <c r="E105" s="22"/>
      <c r="F105" s="24"/>
      <c r="G105" s="24"/>
      <c r="H105" s="24">
        <f>H104+'cash book - Argenta'!$F105-'cash book - Argenta'!$G105</f>
        <v>5025</v>
      </c>
    </row>
    <row r="106" spans="1:8" ht="34.5" customHeight="1" x14ac:dyDescent="0.25">
      <c r="A106" s="25">
        <v>45415</v>
      </c>
      <c r="B106" s="22">
        <f>MONTH('cash book - Argenta'!$A106)</f>
        <v>5</v>
      </c>
      <c r="C106" s="23">
        <f t="shared" si="0"/>
        <v>2024</v>
      </c>
      <c r="D106" s="23"/>
      <c r="E106" s="22"/>
      <c r="F106" s="24"/>
      <c r="G106" s="24"/>
      <c r="H106" s="24">
        <f>H105+'cash book - Argenta'!$F106-'cash book - Argenta'!$G106</f>
        <v>5025</v>
      </c>
    </row>
    <row r="107" spans="1:8" ht="34.5" customHeight="1" x14ac:dyDescent="0.25">
      <c r="A107" s="21">
        <v>45417</v>
      </c>
      <c r="B107" s="22">
        <f>MONTH('cash book - Argenta'!$A107)</f>
        <v>5</v>
      </c>
      <c r="C107" s="23">
        <f t="shared" si="0"/>
        <v>2024</v>
      </c>
      <c r="D107" s="23"/>
      <c r="E107" s="22"/>
      <c r="F107" s="24"/>
      <c r="G107" s="24"/>
      <c r="H107" s="24">
        <f>H106+'cash book - Argenta'!$F107-'cash book - Argenta'!$G107</f>
        <v>5025</v>
      </c>
    </row>
    <row r="108" spans="1:8" ht="34.5" customHeight="1" x14ac:dyDescent="0.25">
      <c r="A108" s="25">
        <v>45418</v>
      </c>
      <c r="B108" s="22">
        <f>MONTH('cash book - Argenta'!$A108)</f>
        <v>5</v>
      </c>
      <c r="C108" s="23">
        <f t="shared" si="0"/>
        <v>2024</v>
      </c>
      <c r="D108" s="23"/>
      <c r="E108" s="22"/>
      <c r="F108" s="24"/>
      <c r="G108" s="24"/>
      <c r="H108" s="24">
        <f>H107+'cash book - Argenta'!$F108-'cash book - Argenta'!$G108</f>
        <v>5025</v>
      </c>
    </row>
    <row r="109" spans="1:8" ht="34.5" customHeight="1" x14ac:dyDescent="0.25">
      <c r="A109" s="21">
        <v>45419</v>
      </c>
      <c r="B109" s="22">
        <f>MONTH('cash book - Argenta'!$A109)</f>
        <v>5</v>
      </c>
      <c r="C109" s="23">
        <f t="shared" si="0"/>
        <v>2024</v>
      </c>
      <c r="D109" s="23"/>
      <c r="E109" s="22"/>
      <c r="F109" s="24"/>
      <c r="G109" s="24"/>
      <c r="H109" s="24">
        <f>H108+'cash book - Argenta'!$F109-'cash book - Argenta'!$G109</f>
        <v>5025</v>
      </c>
    </row>
    <row r="110" spans="1:8" ht="34.5" customHeight="1" x14ac:dyDescent="0.25">
      <c r="A110" s="25">
        <v>45419</v>
      </c>
      <c r="B110" s="22">
        <f>MONTH('cash book - Argenta'!$A110)</f>
        <v>5</v>
      </c>
      <c r="C110" s="23">
        <f t="shared" si="0"/>
        <v>2024</v>
      </c>
      <c r="D110" s="23"/>
      <c r="E110" s="22"/>
      <c r="F110" s="24"/>
      <c r="G110" s="24"/>
      <c r="H110" s="24">
        <f>H109+'cash book - Argenta'!$F110-'cash book - Argenta'!$G110</f>
        <v>5025</v>
      </c>
    </row>
    <row r="111" spans="1:8" ht="34.5" customHeight="1" x14ac:dyDescent="0.25">
      <c r="A111" s="21">
        <v>45419</v>
      </c>
      <c r="B111" s="22">
        <f>MONTH('cash book - Argenta'!$A111)</f>
        <v>5</v>
      </c>
      <c r="C111" s="23">
        <f t="shared" si="0"/>
        <v>2024</v>
      </c>
      <c r="D111" s="23"/>
      <c r="E111" s="22"/>
      <c r="F111" s="24"/>
      <c r="G111" s="24"/>
      <c r="H111" s="24">
        <f>H110+'cash book - Argenta'!$F111-'cash book - Argenta'!$G111</f>
        <v>5025</v>
      </c>
    </row>
    <row r="112" spans="1:8" ht="34.5" customHeight="1" x14ac:dyDescent="0.25">
      <c r="A112" s="25">
        <v>45422</v>
      </c>
      <c r="B112" s="22">
        <f>MONTH('cash book - Argenta'!$A112)</f>
        <v>5</v>
      </c>
      <c r="C112" s="23">
        <f t="shared" si="0"/>
        <v>2024</v>
      </c>
      <c r="D112" s="23"/>
      <c r="E112" s="22"/>
      <c r="F112" s="24"/>
      <c r="G112" s="24"/>
      <c r="H112" s="24">
        <f>H111+'cash book - Argenta'!$F112-'cash book - Argenta'!$G112</f>
        <v>5025</v>
      </c>
    </row>
    <row r="113" spans="1:8" ht="34.5" customHeight="1" x14ac:dyDescent="0.25">
      <c r="A113" s="21">
        <v>45425</v>
      </c>
      <c r="B113" s="22">
        <f>MONTH('cash book - Argenta'!$A113)</f>
        <v>5</v>
      </c>
      <c r="C113" s="23">
        <f t="shared" si="0"/>
        <v>2024</v>
      </c>
      <c r="D113" s="23"/>
      <c r="E113" s="22"/>
      <c r="F113" s="24"/>
      <c r="G113" s="24"/>
      <c r="H113" s="24">
        <f>H112+'cash book - Argenta'!$F113-'cash book - Argenta'!$G113</f>
        <v>5025</v>
      </c>
    </row>
    <row r="114" spans="1:8" ht="34.5" customHeight="1" x14ac:dyDescent="0.25">
      <c r="A114" s="25">
        <v>45425</v>
      </c>
      <c r="B114" s="22">
        <f>MONTH('cash book - Argenta'!$A114)</f>
        <v>5</v>
      </c>
      <c r="C114" s="23">
        <f t="shared" si="0"/>
        <v>2024</v>
      </c>
      <c r="D114" s="23"/>
      <c r="E114" s="22"/>
      <c r="F114" s="24"/>
      <c r="G114" s="24"/>
      <c r="H114" s="24">
        <f>H113+'cash book - Argenta'!$F114-'cash book - Argenta'!$G114</f>
        <v>5025</v>
      </c>
    </row>
    <row r="115" spans="1:8" ht="34.5" customHeight="1" x14ac:dyDescent="0.25">
      <c r="A115" s="21">
        <v>45427</v>
      </c>
      <c r="B115" s="22">
        <f>MONTH('cash book - Argenta'!$A115)</f>
        <v>5</v>
      </c>
      <c r="C115" s="23">
        <f t="shared" si="0"/>
        <v>2024</v>
      </c>
      <c r="D115" s="23"/>
      <c r="E115" s="22"/>
      <c r="F115" s="24"/>
      <c r="G115" s="24"/>
      <c r="H115" s="24">
        <f>H114+'cash book - Argenta'!$F115-'cash book - Argenta'!$G115</f>
        <v>5025</v>
      </c>
    </row>
    <row r="116" spans="1:8" ht="34.5" customHeight="1" x14ac:dyDescent="0.25">
      <c r="A116" s="25">
        <v>45428</v>
      </c>
      <c r="B116" s="22">
        <f>MONTH('cash book - Argenta'!$A116)</f>
        <v>5</v>
      </c>
      <c r="C116" s="23">
        <f t="shared" si="0"/>
        <v>2024</v>
      </c>
      <c r="D116" s="23"/>
      <c r="E116" s="22"/>
      <c r="F116" s="24"/>
      <c r="G116" s="24"/>
      <c r="H116" s="24">
        <f>H115+'cash book - Argenta'!$F116-'cash book - Argenta'!$G116</f>
        <v>5025</v>
      </c>
    </row>
    <row r="117" spans="1:8" ht="34.5" customHeight="1" x14ac:dyDescent="0.25">
      <c r="A117" s="21">
        <v>45428</v>
      </c>
      <c r="B117" s="22">
        <f>MONTH('cash book - Argenta'!$A117)</f>
        <v>5</v>
      </c>
      <c r="C117" s="23">
        <f t="shared" si="0"/>
        <v>2024</v>
      </c>
      <c r="D117" s="23"/>
      <c r="E117" s="22"/>
      <c r="F117" s="24"/>
      <c r="G117" s="24"/>
      <c r="H117" s="24">
        <f>H116+'cash book - Argenta'!$F117-'cash book - Argenta'!$G117</f>
        <v>5025</v>
      </c>
    </row>
    <row r="118" spans="1:8" ht="34.5" customHeight="1" x14ac:dyDescent="0.25">
      <c r="A118" s="25">
        <v>45432</v>
      </c>
      <c r="B118" s="22">
        <f>MONTH('cash book - Argenta'!$A118)</f>
        <v>5</v>
      </c>
      <c r="C118" s="23">
        <f t="shared" si="0"/>
        <v>2024</v>
      </c>
      <c r="D118" s="23"/>
      <c r="E118" s="22"/>
      <c r="F118" s="24"/>
      <c r="G118" s="24"/>
      <c r="H118" s="24">
        <f>H117+'cash book - Argenta'!$F118-'cash book - Argenta'!$G118</f>
        <v>5025</v>
      </c>
    </row>
    <row r="119" spans="1:8" ht="34.5" customHeight="1" x14ac:dyDescent="0.25">
      <c r="A119" s="21">
        <v>45434</v>
      </c>
      <c r="B119" s="22">
        <f>MONTH('cash book - Argenta'!$A119)</f>
        <v>5</v>
      </c>
      <c r="C119" s="23">
        <f t="shared" si="0"/>
        <v>2024</v>
      </c>
      <c r="D119" s="23"/>
      <c r="E119" s="22"/>
      <c r="F119" s="24"/>
      <c r="G119" s="24"/>
      <c r="H119" s="24">
        <f>H118+'cash book - Argenta'!$F119-'cash book - Argenta'!$G119</f>
        <v>5025</v>
      </c>
    </row>
    <row r="120" spans="1:8" ht="34.5" customHeight="1" x14ac:dyDescent="0.25">
      <c r="A120" s="25">
        <v>45436</v>
      </c>
      <c r="B120" s="22">
        <f>MONTH('cash book - Argenta'!$A120)</f>
        <v>5</v>
      </c>
      <c r="C120" s="23">
        <f t="shared" si="0"/>
        <v>2024</v>
      </c>
      <c r="D120" s="23"/>
      <c r="E120" s="22"/>
      <c r="F120" s="24"/>
      <c r="G120" s="24"/>
      <c r="H120" s="24">
        <f>H119+'cash book - Argenta'!$F120-'cash book - Argenta'!$G120</f>
        <v>5025</v>
      </c>
    </row>
    <row r="121" spans="1:8" ht="34.5" customHeight="1" x14ac:dyDescent="0.25">
      <c r="A121" s="21">
        <v>45436</v>
      </c>
      <c r="B121" s="22">
        <f>MONTH('cash book - Argenta'!$A121)</f>
        <v>5</v>
      </c>
      <c r="C121" s="23">
        <f t="shared" si="0"/>
        <v>2024</v>
      </c>
      <c r="D121" s="23"/>
      <c r="E121" s="22"/>
      <c r="F121" s="24"/>
      <c r="G121" s="24"/>
      <c r="H121" s="24">
        <f>H120+'cash book - Argenta'!$F121-'cash book - Argenta'!$G121</f>
        <v>5025</v>
      </c>
    </row>
    <row r="122" spans="1:8" ht="34.5" customHeight="1" x14ac:dyDescent="0.25">
      <c r="A122" s="25">
        <v>45437</v>
      </c>
      <c r="B122" s="22">
        <f>MONTH('cash book - Argenta'!$A122)</f>
        <v>5</v>
      </c>
      <c r="C122" s="23">
        <f t="shared" si="0"/>
        <v>2024</v>
      </c>
      <c r="D122" s="23"/>
      <c r="E122" s="22"/>
      <c r="F122" s="24"/>
      <c r="G122" s="24"/>
      <c r="H122" s="24">
        <f>H121+'cash book - Argenta'!$F122-'cash book - Argenta'!$G122</f>
        <v>5025</v>
      </c>
    </row>
    <row r="123" spans="1:8" ht="34.5" customHeight="1" x14ac:dyDescent="0.25">
      <c r="A123" s="21">
        <v>45437</v>
      </c>
      <c r="B123" s="22">
        <f>MONTH('cash book - Argenta'!$A123)</f>
        <v>5</v>
      </c>
      <c r="C123" s="23">
        <f t="shared" si="0"/>
        <v>2024</v>
      </c>
      <c r="D123" s="23"/>
      <c r="E123" s="22"/>
      <c r="F123" s="24"/>
      <c r="G123" s="24"/>
      <c r="H123" s="24">
        <f>H122+'cash book - Argenta'!$F123-'cash book - Argenta'!$G123</f>
        <v>5025</v>
      </c>
    </row>
    <row r="124" spans="1:8" ht="34.5" customHeight="1" x14ac:dyDescent="0.25">
      <c r="A124" s="25">
        <v>45438</v>
      </c>
      <c r="B124" s="26">
        <f>MONTH('cash book - Argenta'!$A124)</f>
        <v>5</v>
      </c>
      <c r="C124" s="23">
        <f t="shared" si="0"/>
        <v>2024</v>
      </c>
      <c r="D124" s="27"/>
      <c r="E124" s="26"/>
      <c r="F124" s="28"/>
      <c r="G124" s="28"/>
      <c r="H124" s="28">
        <f>H123+'cash book - Argenta'!$F124-'cash book - Argenta'!$G124</f>
        <v>5025</v>
      </c>
    </row>
    <row r="125" spans="1:8" ht="34.5" customHeight="1" x14ac:dyDescent="0.25">
      <c r="A125" s="21">
        <v>45438</v>
      </c>
      <c r="B125" s="22">
        <f>MONTH('cash book - Argenta'!$A125)</f>
        <v>5</v>
      </c>
      <c r="C125" s="23">
        <f t="shared" si="0"/>
        <v>2024</v>
      </c>
      <c r="D125" s="23"/>
      <c r="E125" s="22"/>
      <c r="F125" s="24"/>
      <c r="G125" s="24"/>
      <c r="H125" s="24">
        <f>H124+'cash book - Argenta'!$F125-'cash book - Argenta'!$G125</f>
        <v>5025</v>
      </c>
    </row>
    <row r="126" spans="1:8" ht="34.5" customHeight="1" x14ac:dyDescent="0.25">
      <c r="A126" s="25">
        <v>45438</v>
      </c>
      <c r="B126" s="22">
        <f>MONTH('cash book - Argenta'!$A126)</f>
        <v>5</v>
      </c>
      <c r="C126" s="23">
        <f t="shared" si="0"/>
        <v>2024</v>
      </c>
      <c r="D126" s="23"/>
      <c r="E126" s="22"/>
      <c r="F126" s="24"/>
      <c r="G126" s="24"/>
      <c r="H126" s="24">
        <f>H125+'cash book - Argenta'!$F126-'cash book - Argenta'!$G126</f>
        <v>5025</v>
      </c>
    </row>
    <row r="127" spans="1:8" ht="34.5" customHeight="1" x14ac:dyDescent="0.25">
      <c r="A127" s="21">
        <v>45438</v>
      </c>
      <c r="B127" s="22">
        <f>MONTH('cash book - Argenta'!$A127)</f>
        <v>5</v>
      </c>
      <c r="C127" s="23">
        <f t="shared" si="0"/>
        <v>2024</v>
      </c>
      <c r="D127" s="23"/>
      <c r="E127" s="22"/>
      <c r="F127" s="24"/>
      <c r="G127" s="24"/>
      <c r="H127" s="24">
        <f>H126+'cash book - Argenta'!$F127-'cash book - Argenta'!$G127</f>
        <v>5025</v>
      </c>
    </row>
    <row r="128" spans="1:8" ht="34.5" customHeight="1" x14ac:dyDescent="0.25">
      <c r="A128" s="25">
        <v>45439</v>
      </c>
      <c r="B128" s="22">
        <f>MONTH('cash book - Argenta'!$A128)</f>
        <v>5</v>
      </c>
      <c r="C128" s="23">
        <f t="shared" si="0"/>
        <v>2024</v>
      </c>
      <c r="D128" s="23"/>
      <c r="E128" s="22"/>
      <c r="F128" s="24"/>
      <c r="G128" s="24"/>
      <c r="H128" s="24">
        <f>H127+'cash book - Argenta'!$F128-'cash book - Argenta'!$G128</f>
        <v>5025</v>
      </c>
    </row>
    <row r="129" spans="1:8" ht="34.5" customHeight="1" x14ac:dyDescent="0.25">
      <c r="A129" s="21">
        <v>45440</v>
      </c>
      <c r="B129" s="22">
        <f>MONTH('cash book - Argenta'!$A129)</f>
        <v>5</v>
      </c>
      <c r="C129" s="23">
        <f t="shared" si="0"/>
        <v>2024</v>
      </c>
      <c r="D129" s="23"/>
      <c r="E129" s="22"/>
      <c r="F129" s="24"/>
      <c r="G129" s="24"/>
      <c r="H129" s="24">
        <f>H128+'cash book - Argenta'!$F129-'cash book - Argenta'!$G129</f>
        <v>5025</v>
      </c>
    </row>
    <row r="130" spans="1:8" ht="34.5" customHeight="1" x14ac:dyDescent="0.25">
      <c r="A130" s="25">
        <v>45443</v>
      </c>
      <c r="B130" s="22">
        <f>MONTH('cash book - Argenta'!$A130)</f>
        <v>5</v>
      </c>
      <c r="C130" s="23">
        <f t="shared" si="0"/>
        <v>2024</v>
      </c>
      <c r="D130" s="23"/>
      <c r="E130" s="22"/>
      <c r="F130" s="24"/>
      <c r="G130" s="24"/>
      <c r="H130" s="24">
        <f>H129+'cash book - Argenta'!$F130-'cash book - Argenta'!$G130</f>
        <v>5025</v>
      </c>
    </row>
    <row r="131" spans="1:8" ht="34.5" customHeight="1" x14ac:dyDescent="0.25">
      <c r="A131" s="21">
        <v>45450</v>
      </c>
      <c r="B131" s="22">
        <f>MONTH('cash book - Argenta'!$A131)</f>
        <v>6</v>
      </c>
      <c r="C131" s="23">
        <f t="shared" si="0"/>
        <v>2024</v>
      </c>
      <c r="D131" s="23"/>
      <c r="E131" s="22"/>
      <c r="F131" s="24"/>
      <c r="G131" s="24"/>
      <c r="H131" s="24">
        <f>H130+'cash book - Argenta'!$F131-'cash book - Argenta'!$G131</f>
        <v>5025</v>
      </c>
    </row>
    <row r="132" spans="1:8" ht="34.5" customHeight="1" x14ac:dyDescent="0.25">
      <c r="A132" s="25">
        <v>45450</v>
      </c>
      <c r="B132" s="22">
        <f>MONTH('cash book - Argenta'!$A132)</f>
        <v>6</v>
      </c>
      <c r="C132" s="23">
        <f t="shared" si="0"/>
        <v>2024</v>
      </c>
      <c r="D132" s="23"/>
      <c r="E132" s="22"/>
      <c r="F132" s="24"/>
      <c r="G132" s="24"/>
      <c r="H132" s="24">
        <f>H131+'cash book - Argenta'!$F132-'cash book - Argenta'!$G132</f>
        <v>5025</v>
      </c>
    </row>
    <row r="133" spans="1:8" ht="34.5" customHeight="1" x14ac:dyDescent="0.25">
      <c r="A133" s="21">
        <v>45451</v>
      </c>
      <c r="B133" s="22">
        <f>MONTH('cash book - Argenta'!$A133)</f>
        <v>6</v>
      </c>
      <c r="C133" s="23">
        <f t="shared" si="0"/>
        <v>2024</v>
      </c>
      <c r="D133" s="23"/>
      <c r="E133" s="22"/>
      <c r="F133" s="24"/>
      <c r="G133" s="24"/>
      <c r="H133" s="24">
        <f>H132+'cash book - Argenta'!$F133-'cash book - Argenta'!$G133</f>
        <v>5025</v>
      </c>
    </row>
    <row r="134" spans="1:8" ht="34.5" customHeight="1" x14ac:dyDescent="0.25">
      <c r="A134" s="25">
        <v>45452</v>
      </c>
      <c r="B134" s="22">
        <f>MONTH('cash book - Argenta'!$A134)</f>
        <v>6</v>
      </c>
      <c r="C134" s="23">
        <f t="shared" si="0"/>
        <v>2024</v>
      </c>
      <c r="D134" s="23"/>
      <c r="E134" s="22"/>
      <c r="F134" s="24"/>
      <c r="G134" s="24"/>
      <c r="H134" s="24">
        <f>H133+'cash book - Argenta'!$F134-'cash book - Argenta'!$G134</f>
        <v>5025</v>
      </c>
    </row>
    <row r="135" spans="1:8" ht="34.5" customHeight="1" x14ac:dyDescent="0.25">
      <c r="A135" s="21">
        <v>45453</v>
      </c>
      <c r="B135" s="22">
        <f>MONTH('cash book - Argenta'!$A135)</f>
        <v>6</v>
      </c>
      <c r="C135" s="23">
        <f t="shared" si="0"/>
        <v>2024</v>
      </c>
      <c r="D135" s="23"/>
      <c r="E135" s="22"/>
      <c r="F135" s="24"/>
      <c r="G135" s="24"/>
      <c r="H135" s="24">
        <f>H134+'cash book - Argenta'!$F135-'cash book - Argenta'!$G135</f>
        <v>5025</v>
      </c>
    </row>
    <row r="136" spans="1:8" ht="34.5" customHeight="1" x14ac:dyDescent="0.25">
      <c r="A136" s="25">
        <v>45454</v>
      </c>
      <c r="B136" s="22">
        <f>MONTH('cash book - Argenta'!$A136)</f>
        <v>6</v>
      </c>
      <c r="C136" s="23">
        <f t="shared" si="0"/>
        <v>2024</v>
      </c>
      <c r="D136" s="23"/>
      <c r="E136" s="22"/>
      <c r="F136" s="24"/>
      <c r="G136" s="24"/>
      <c r="H136" s="24">
        <f>H135+'cash book - Argenta'!$F136-'cash book - Argenta'!$G136</f>
        <v>5025</v>
      </c>
    </row>
    <row r="137" spans="1:8" ht="34.5" customHeight="1" x14ac:dyDescent="0.25">
      <c r="A137" s="21">
        <v>45456</v>
      </c>
      <c r="B137" s="22">
        <f>MONTH('cash book - Argenta'!$A137)</f>
        <v>6</v>
      </c>
      <c r="C137" s="23">
        <f t="shared" si="0"/>
        <v>2024</v>
      </c>
      <c r="D137" s="23"/>
      <c r="E137" s="22"/>
      <c r="F137" s="24"/>
      <c r="G137" s="24"/>
      <c r="H137" s="24">
        <f>H136+'cash book - Argenta'!$F137-'cash book - Argenta'!$G137</f>
        <v>5025</v>
      </c>
    </row>
    <row r="138" spans="1:8" ht="34.5" customHeight="1" x14ac:dyDescent="0.25">
      <c r="A138" s="25">
        <v>45456</v>
      </c>
      <c r="B138" s="22">
        <f>MONTH('cash book - Argenta'!$A138)</f>
        <v>6</v>
      </c>
      <c r="C138" s="23">
        <f t="shared" si="0"/>
        <v>2024</v>
      </c>
      <c r="D138" s="23"/>
      <c r="E138" s="22"/>
      <c r="F138" s="24"/>
      <c r="G138" s="24"/>
      <c r="H138" s="24">
        <f>H137+'cash book - Argenta'!$F138-'cash book - Argenta'!$G138</f>
        <v>5025</v>
      </c>
    </row>
    <row r="139" spans="1:8" ht="34.5" customHeight="1" x14ac:dyDescent="0.25">
      <c r="A139" s="21">
        <v>45457</v>
      </c>
      <c r="B139" s="22">
        <f>MONTH('cash book - Argenta'!$A139)</f>
        <v>6</v>
      </c>
      <c r="C139" s="23">
        <f t="shared" si="0"/>
        <v>2024</v>
      </c>
      <c r="D139" s="23"/>
      <c r="E139" s="22"/>
      <c r="F139" s="24"/>
      <c r="G139" s="24"/>
      <c r="H139" s="24">
        <f>H138+'cash book - Argenta'!$F139-'cash book - Argenta'!$G139</f>
        <v>5025</v>
      </c>
    </row>
    <row r="140" spans="1:8" ht="34.5" customHeight="1" x14ac:dyDescent="0.25">
      <c r="A140" s="25">
        <v>45460</v>
      </c>
      <c r="B140" s="22">
        <f>MONTH('cash book - Argenta'!$A140)</f>
        <v>6</v>
      </c>
      <c r="C140" s="23">
        <f t="shared" si="0"/>
        <v>2024</v>
      </c>
      <c r="D140" s="23"/>
      <c r="E140" s="22"/>
      <c r="F140" s="24"/>
      <c r="G140" s="24"/>
      <c r="H140" s="24">
        <f>H139+'cash book - Argenta'!$F140-'cash book - Argenta'!$G140</f>
        <v>5025</v>
      </c>
    </row>
    <row r="141" spans="1:8" ht="34.5" customHeight="1" x14ac:dyDescent="0.25">
      <c r="A141" s="21">
        <v>45465</v>
      </c>
      <c r="B141" s="22">
        <f>MONTH('cash book - Argenta'!$A141)</f>
        <v>6</v>
      </c>
      <c r="C141" s="23">
        <f t="shared" si="0"/>
        <v>2024</v>
      </c>
      <c r="D141" s="23"/>
      <c r="E141" s="22"/>
      <c r="F141" s="24"/>
      <c r="G141" s="24"/>
      <c r="H141" s="24">
        <f>H140+'cash book - Argenta'!$F141-'cash book - Argenta'!$G141</f>
        <v>5025</v>
      </c>
    </row>
    <row r="142" spans="1:8" ht="34.5" customHeight="1" x14ac:dyDescent="0.25">
      <c r="A142" s="25">
        <v>45467</v>
      </c>
      <c r="B142" s="22">
        <f>MONTH('cash book - Argenta'!$A142)</f>
        <v>6</v>
      </c>
      <c r="C142" s="23">
        <f t="shared" si="0"/>
        <v>2024</v>
      </c>
      <c r="D142" s="23"/>
      <c r="E142" s="22"/>
      <c r="F142" s="24"/>
      <c r="G142" s="24"/>
      <c r="H142" s="24">
        <f>H141+'cash book - Argenta'!$F142-'cash book - Argenta'!$G142</f>
        <v>5025</v>
      </c>
    </row>
    <row r="143" spans="1:8" ht="34.5" customHeight="1" x14ac:dyDescent="0.25">
      <c r="A143" s="21">
        <v>45468</v>
      </c>
      <c r="B143" s="22">
        <f>MONTH('cash book - Argenta'!$A143)</f>
        <v>6</v>
      </c>
      <c r="C143" s="23">
        <f t="shared" si="0"/>
        <v>2024</v>
      </c>
      <c r="D143" s="23"/>
      <c r="E143" s="22"/>
      <c r="F143" s="24"/>
      <c r="G143" s="24"/>
      <c r="H143" s="24">
        <f>H142+'cash book - Argenta'!$F143-'cash book - Argenta'!$G143</f>
        <v>5025</v>
      </c>
    </row>
    <row r="144" spans="1:8" ht="34.5" customHeight="1" x14ac:dyDescent="0.25">
      <c r="A144" s="25">
        <v>45469</v>
      </c>
      <c r="B144" s="22">
        <f>MONTH('cash book - Argenta'!$A144)</f>
        <v>6</v>
      </c>
      <c r="C144" s="23">
        <f t="shared" si="0"/>
        <v>2024</v>
      </c>
      <c r="D144" s="23"/>
      <c r="E144" s="22"/>
      <c r="F144" s="24"/>
      <c r="G144" s="24"/>
      <c r="H144" s="24">
        <f>H143+'cash book - Argenta'!$F144-'cash book - Argenta'!$G144</f>
        <v>5025</v>
      </c>
    </row>
    <row r="145" spans="1:8" ht="34.5" customHeight="1" x14ac:dyDescent="0.25">
      <c r="A145" s="21">
        <v>45470</v>
      </c>
      <c r="B145" s="22">
        <f>MONTH('cash book - Argenta'!$A145)</f>
        <v>6</v>
      </c>
      <c r="C145" s="23">
        <f t="shared" si="0"/>
        <v>2024</v>
      </c>
      <c r="D145" s="23"/>
      <c r="E145" s="22"/>
      <c r="F145" s="24"/>
      <c r="G145" s="24"/>
      <c r="H145" s="24">
        <f>H144+'cash book - Argenta'!$F145-'cash book - Argenta'!$G145</f>
        <v>5025</v>
      </c>
    </row>
    <row r="146" spans="1:8" ht="34.5" customHeight="1" x14ac:dyDescent="0.25">
      <c r="A146" s="25">
        <v>45470</v>
      </c>
      <c r="B146" s="22">
        <f>MONTH('cash book - Argenta'!$A146)</f>
        <v>6</v>
      </c>
      <c r="C146" s="23">
        <f t="shared" si="0"/>
        <v>2024</v>
      </c>
      <c r="D146" s="23"/>
      <c r="E146" s="22"/>
      <c r="F146" s="24"/>
      <c r="G146" s="24"/>
      <c r="H146" s="24">
        <f>H145+'cash book - Argenta'!$F146-'cash book - Argenta'!$G146</f>
        <v>5025</v>
      </c>
    </row>
    <row r="147" spans="1:8" ht="34.5" customHeight="1" x14ac:dyDescent="0.25">
      <c r="A147" s="21">
        <v>45471</v>
      </c>
      <c r="B147" s="22">
        <f>MONTH('cash book - Argenta'!$A147)</f>
        <v>6</v>
      </c>
      <c r="C147" s="23">
        <f t="shared" si="0"/>
        <v>2024</v>
      </c>
      <c r="D147" s="23"/>
      <c r="E147" s="22"/>
      <c r="F147" s="24"/>
      <c r="G147" s="24"/>
      <c r="H147" s="24">
        <f>H146+'cash book - Argenta'!$F147-'cash book - Argenta'!$G147</f>
        <v>5025</v>
      </c>
    </row>
    <row r="148" spans="1:8" ht="34.5" customHeight="1" x14ac:dyDescent="0.25">
      <c r="A148" s="25">
        <v>45472</v>
      </c>
      <c r="B148" s="22">
        <f>MONTH('cash book - Argenta'!$A148)</f>
        <v>6</v>
      </c>
      <c r="C148" s="23">
        <f t="shared" si="0"/>
        <v>2024</v>
      </c>
      <c r="D148" s="23"/>
      <c r="E148" s="22"/>
      <c r="F148" s="24"/>
      <c r="G148" s="24"/>
      <c r="H148" s="24">
        <f>H147+'cash book - Argenta'!$F148-'cash book - Argenta'!$G148</f>
        <v>5025</v>
      </c>
    </row>
    <row r="149" spans="1:8" ht="34.5" customHeight="1" x14ac:dyDescent="0.25">
      <c r="A149" s="21">
        <v>45473</v>
      </c>
      <c r="B149" s="22">
        <f>MONTH('cash book - Argenta'!$A149)</f>
        <v>6</v>
      </c>
      <c r="C149" s="23">
        <f t="shared" si="0"/>
        <v>2024</v>
      </c>
      <c r="D149" s="23"/>
      <c r="E149" s="22"/>
      <c r="F149" s="24"/>
      <c r="G149" s="24"/>
      <c r="H149" s="24">
        <f>H148+'cash book - Argenta'!$F149-'cash book - Argenta'!$G149</f>
        <v>5025</v>
      </c>
    </row>
    <row r="150" spans="1:8" ht="34.5" customHeight="1" x14ac:dyDescent="0.25">
      <c r="A150" s="25">
        <v>45473</v>
      </c>
      <c r="B150" s="22">
        <f>MONTH('cash book - Argenta'!$A150)</f>
        <v>6</v>
      </c>
      <c r="C150" s="23">
        <f t="shared" si="0"/>
        <v>2024</v>
      </c>
      <c r="D150" s="23"/>
      <c r="E150" s="22"/>
      <c r="F150" s="24"/>
      <c r="G150" s="24"/>
      <c r="H150" s="24">
        <f>H149+'cash book - Argenta'!$F150-'cash book - Argenta'!$G150</f>
        <v>5025</v>
      </c>
    </row>
    <row r="151" spans="1:8" ht="34.5" customHeight="1" x14ac:dyDescent="0.25">
      <c r="A151" s="21">
        <v>45473</v>
      </c>
      <c r="B151" s="22">
        <f>MONTH('cash book - Argenta'!$A151)</f>
        <v>6</v>
      </c>
      <c r="C151" s="23">
        <f t="shared" si="0"/>
        <v>2024</v>
      </c>
      <c r="D151" s="23"/>
      <c r="E151" s="22"/>
      <c r="F151" s="24"/>
      <c r="G151" s="24"/>
      <c r="H151" s="24">
        <f>H150+'cash book - Argenta'!$F151-'cash book - Argenta'!$G151</f>
        <v>5025</v>
      </c>
    </row>
    <row r="152" spans="1:8" ht="34.5" customHeight="1" x14ac:dyDescent="0.25">
      <c r="A152" s="25">
        <v>45475</v>
      </c>
      <c r="B152" s="22">
        <f>MONTH('cash book - Argenta'!$A152)</f>
        <v>7</v>
      </c>
      <c r="C152" s="23">
        <f t="shared" si="0"/>
        <v>2024</v>
      </c>
      <c r="D152" s="23"/>
      <c r="E152" s="22"/>
      <c r="F152" s="24"/>
      <c r="G152" s="24"/>
      <c r="H152" s="24">
        <f>H151+'cash book - Argenta'!$F152-'cash book - Argenta'!$G152</f>
        <v>5025</v>
      </c>
    </row>
    <row r="153" spans="1:8" ht="34.5" customHeight="1" x14ac:dyDescent="0.25">
      <c r="A153" s="21">
        <v>45476</v>
      </c>
      <c r="B153" s="22">
        <f>MONTH('cash book - Argenta'!$A153)</f>
        <v>7</v>
      </c>
      <c r="C153" s="23">
        <f t="shared" si="0"/>
        <v>2024</v>
      </c>
      <c r="D153" s="23"/>
      <c r="E153" s="22"/>
      <c r="F153" s="24"/>
      <c r="G153" s="24"/>
      <c r="H153" s="24">
        <f>H152+'cash book - Argenta'!$F153-'cash book - Argenta'!$G153</f>
        <v>5025</v>
      </c>
    </row>
    <row r="154" spans="1:8" ht="34.5" customHeight="1" x14ac:dyDescent="0.25">
      <c r="A154" s="25">
        <v>45477</v>
      </c>
      <c r="B154" s="22">
        <f>MONTH('cash book - Argenta'!$A154)</f>
        <v>7</v>
      </c>
      <c r="C154" s="23">
        <f t="shared" si="0"/>
        <v>2024</v>
      </c>
      <c r="D154" s="23"/>
      <c r="E154" s="22"/>
      <c r="F154" s="24"/>
      <c r="G154" s="24"/>
      <c r="H154" s="24">
        <f>H153+'cash book - Argenta'!$F154-'cash book - Argenta'!$G154</f>
        <v>5025</v>
      </c>
    </row>
    <row r="155" spans="1:8" ht="34.5" customHeight="1" x14ac:dyDescent="0.25">
      <c r="A155" s="21">
        <v>45478</v>
      </c>
      <c r="B155" s="22">
        <f>MONTH('cash book - Argenta'!$A155)</f>
        <v>7</v>
      </c>
      <c r="C155" s="23">
        <f t="shared" si="0"/>
        <v>2024</v>
      </c>
      <c r="D155" s="23"/>
      <c r="E155" s="22"/>
      <c r="F155" s="24"/>
      <c r="G155" s="24"/>
      <c r="H155" s="24">
        <f>H154+'cash book - Argenta'!$F155-'cash book - Argenta'!$G155</f>
        <v>5025</v>
      </c>
    </row>
    <row r="156" spans="1:8" ht="34.5" customHeight="1" x14ac:dyDescent="0.25">
      <c r="A156" s="25">
        <v>45479</v>
      </c>
      <c r="B156" s="22">
        <f>MONTH('cash book - Argenta'!$A156)</f>
        <v>7</v>
      </c>
      <c r="C156" s="23">
        <f t="shared" si="0"/>
        <v>2024</v>
      </c>
      <c r="D156" s="23"/>
      <c r="E156" s="22"/>
      <c r="F156" s="24"/>
      <c r="G156" s="24"/>
      <c r="H156" s="24">
        <f>H155+'cash book - Argenta'!$F156-'cash book - Argenta'!$G156</f>
        <v>5025</v>
      </c>
    </row>
    <row r="157" spans="1:8" ht="34.5" customHeight="1" x14ac:dyDescent="0.25">
      <c r="A157" s="21">
        <v>45479</v>
      </c>
      <c r="B157" s="22">
        <f>MONTH('cash book - Argenta'!$A157)</f>
        <v>7</v>
      </c>
      <c r="C157" s="23">
        <f t="shared" si="0"/>
        <v>2024</v>
      </c>
      <c r="D157" s="23"/>
      <c r="E157" s="22"/>
      <c r="F157" s="24"/>
      <c r="G157" s="24"/>
      <c r="H157" s="24">
        <f>H156+'cash book - Argenta'!$F157-'cash book - Argenta'!$G157</f>
        <v>5025</v>
      </c>
    </row>
    <row r="158" spans="1:8" ht="34.5" customHeight="1" x14ac:dyDescent="0.25">
      <c r="A158" s="25">
        <v>45479</v>
      </c>
      <c r="B158" s="22">
        <f>MONTH('cash book - Argenta'!$A158)</f>
        <v>7</v>
      </c>
      <c r="C158" s="23">
        <f t="shared" si="0"/>
        <v>2024</v>
      </c>
      <c r="D158" s="23"/>
      <c r="E158" s="22"/>
      <c r="F158" s="24"/>
      <c r="G158" s="24"/>
      <c r="H158" s="24">
        <f>H157+'cash book - Argenta'!$F158-'cash book - Argenta'!$G158</f>
        <v>5025</v>
      </c>
    </row>
    <row r="159" spans="1:8" ht="34.5" customHeight="1" x14ac:dyDescent="0.25">
      <c r="A159" s="21">
        <v>45481</v>
      </c>
      <c r="B159" s="22">
        <f>MONTH('cash book - Argenta'!$A159)</f>
        <v>7</v>
      </c>
      <c r="C159" s="23">
        <f t="shared" si="0"/>
        <v>2024</v>
      </c>
      <c r="D159" s="23"/>
      <c r="E159" s="22"/>
      <c r="F159" s="24"/>
      <c r="G159" s="24"/>
      <c r="H159" s="24">
        <f>H158+'cash book - Argenta'!$F159-'cash book - Argenta'!$G159</f>
        <v>5025</v>
      </c>
    </row>
    <row r="160" spans="1:8" ht="34.5" customHeight="1" x14ac:dyDescent="0.25">
      <c r="A160" s="25">
        <v>45483</v>
      </c>
      <c r="B160" s="22">
        <f>MONTH('cash book - Argenta'!$A160)</f>
        <v>7</v>
      </c>
      <c r="C160" s="23">
        <f t="shared" si="0"/>
        <v>2024</v>
      </c>
      <c r="D160" s="23"/>
      <c r="E160" s="22"/>
      <c r="F160" s="24"/>
      <c r="G160" s="24"/>
      <c r="H160" s="24">
        <f>H159+'cash book - Argenta'!$F160-'cash book - Argenta'!$G160</f>
        <v>5025</v>
      </c>
    </row>
    <row r="161" spans="1:8" ht="34.5" customHeight="1" x14ac:dyDescent="0.25">
      <c r="A161" s="21">
        <v>45485</v>
      </c>
      <c r="B161" s="22">
        <f>MONTH('cash book - Argenta'!$A161)</f>
        <v>7</v>
      </c>
      <c r="C161" s="23">
        <f t="shared" si="0"/>
        <v>2024</v>
      </c>
      <c r="D161" s="23"/>
      <c r="E161" s="22"/>
      <c r="F161" s="24"/>
      <c r="G161" s="24"/>
      <c r="H161" s="24">
        <f>H160+'cash book - Argenta'!$F161-'cash book - Argenta'!$G161</f>
        <v>5025</v>
      </c>
    </row>
    <row r="162" spans="1:8" ht="34.5" customHeight="1" x14ac:dyDescent="0.25">
      <c r="A162" s="25">
        <v>45487</v>
      </c>
      <c r="B162" s="22">
        <f>MONTH('cash book - Argenta'!$A162)</f>
        <v>7</v>
      </c>
      <c r="C162" s="23">
        <f t="shared" si="0"/>
        <v>2024</v>
      </c>
      <c r="D162" s="23"/>
      <c r="E162" s="22"/>
      <c r="F162" s="24"/>
      <c r="G162" s="24"/>
      <c r="H162" s="24">
        <f>H161+'cash book - Argenta'!$F162-'cash book - Argenta'!$G162</f>
        <v>5025</v>
      </c>
    </row>
    <row r="163" spans="1:8" ht="34.5" customHeight="1" x14ac:dyDescent="0.25">
      <c r="A163" s="21">
        <v>45487</v>
      </c>
      <c r="B163" s="22">
        <f>MONTH('cash book - Argenta'!$A163)</f>
        <v>7</v>
      </c>
      <c r="C163" s="23">
        <f t="shared" si="0"/>
        <v>2024</v>
      </c>
      <c r="D163" s="23"/>
      <c r="E163" s="22"/>
      <c r="F163" s="24"/>
      <c r="G163" s="24"/>
      <c r="H163" s="24">
        <f>H162+'cash book - Argenta'!$F163-'cash book - Argenta'!$G163</f>
        <v>5025</v>
      </c>
    </row>
    <row r="164" spans="1:8" ht="33" customHeight="1" x14ac:dyDescent="0.25">
      <c r="A164" s="25">
        <v>45487</v>
      </c>
      <c r="B164" s="22">
        <f>MONTH('cash book - Argenta'!$A164)</f>
        <v>7</v>
      </c>
      <c r="C164" s="23">
        <f t="shared" si="0"/>
        <v>2024</v>
      </c>
      <c r="D164" s="23"/>
      <c r="E164" s="22"/>
      <c r="F164" s="24"/>
      <c r="G164" s="24"/>
      <c r="H164" s="24">
        <f>H163+'cash book - Argenta'!$F164-'cash book - Argenta'!$G164</f>
        <v>5025</v>
      </c>
    </row>
    <row r="165" spans="1:8" ht="34.5" customHeight="1" x14ac:dyDescent="0.25">
      <c r="A165" s="21">
        <v>45488</v>
      </c>
      <c r="B165" s="22">
        <f>MONTH('cash book - Argenta'!$A165)</f>
        <v>7</v>
      </c>
      <c r="C165" s="23">
        <f t="shared" si="0"/>
        <v>2024</v>
      </c>
      <c r="D165" s="23"/>
      <c r="E165" s="22"/>
      <c r="F165" s="24"/>
      <c r="G165" s="24"/>
      <c r="H165" s="24">
        <f>H164+'cash book - Argenta'!$F165-'cash book - Argenta'!$G165</f>
        <v>5025</v>
      </c>
    </row>
    <row r="166" spans="1:8" ht="34.5" customHeight="1" x14ac:dyDescent="0.25">
      <c r="A166" s="25">
        <v>45488</v>
      </c>
      <c r="B166" s="22">
        <f>MONTH('cash book - Argenta'!$A166)</f>
        <v>7</v>
      </c>
      <c r="C166" s="23">
        <f t="shared" si="0"/>
        <v>2024</v>
      </c>
      <c r="D166" s="23"/>
      <c r="E166" s="22"/>
      <c r="F166" s="24"/>
      <c r="G166" s="24"/>
      <c r="H166" s="24">
        <f>H165+'cash book - Argenta'!$F166-'cash book - Argenta'!$G166</f>
        <v>5025</v>
      </c>
    </row>
    <row r="167" spans="1:8" ht="34.5" customHeight="1" x14ac:dyDescent="0.25">
      <c r="A167" s="21">
        <v>45491</v>
      </c>
      <c r="B167" s="22">
        <f>MONTH('cash book - Argenta'!$A167)</f>
        <v>7</v>
      </c>
      <c r="C167" s="23">
        <f t="shared" si="0"/>
        <v>2024</v>
      </c>
      <c r="D167" s="23"/>
      <c r="E167" s="22"/>
      <c r="F167" s="24"/>
      <c r="G167" s="24"/>
      <c r="H167" s="24">
        <f>H166+'cash book - Argenta'!$F167-'cash book - Argenta'!$G167</f>
        <v>5025</v>
      </c>
    </row>
    <row r="168" spans="1:8" ht="33" customHeight="1" x14ac:dyDescent="0.25">
      <c r="A168" s="25">
        <v>45491</v>
      </c>
      <c r="B168" s="22">
        <f>MONTH('cash book - Argenta'!$A168)</f>
        <v>7</v>
      </c>
      <c r="C168" s="23">
        <f t="shared" si="0"/>
        <v>2024</v>
      </c>
      <c r="D168" s="23"/>
      <c r="E168" s="22"/>
      <c r="F168" s="24"/>
      <c r="G168" s="24"/>
      <c r="H168" s="24">
        <f>H167+'cash book - Argenta'!$F168-'cash book - Argenta'!$G168</f>
        <v>5025</v>
      </c>
    </row>
    <row r="169" spans="1:8" ht="34.5" customHeight="1" x14ac:dyDescent="0.25">
      <c r="A169" s="21">
        <v>45492</v>
      </c>
      <c r="B169" s="22">
        <f>MONTH('cash book - Argenta'!$A169)</f>
        <v>7</v>
      </c>
      <c r="C169" s="23">
        <f t="shared" si="0"/>
        <v>2024</v>
      </c>
      <c r="D169" s="23"/>
      <c r="E169" s="22"/>
      <c r="F169" s="24"/>
      <c r="G169" s="24"/>
      <c r="H169" s="24">
        <f>H168+'cash book - Argenta'!$F169-'cash book - Argenta'!$G169</f>
        <v>5025</v>
      </c>
    </row>
    <row r="170" spans="1:8" ht="34.5" customHeight="1" x14ac:dyDescent="0.25">
      <c r="A170" s="25">
        <v>45492</v>
      </c>
      <c r="B170" s="22">
        <f>MONTH('cash book - Argenta'!$A170)</f>
        <v>7</v>
      </c>
      <c r="C170" s="23">
        <f t="shared" si="0"/>
        <v>2024</v>
      </c>
      <c r="D170" s="23"/>
      <c r="E170" s="22"/>
      <c r="F170" s="24"/>
      <c r="G170" s="24"/>
      <c r="H170" s="24">
        <f>H169+'cash book - Argenta'!$F170-'cash book - Argenta'!$G170</f>
        <v>5025</v>
      </c>
    </row>
    <row r="171" spans="1:8" ht="34.5" customHeight="1" x14ac:dyDescent="0.25">
      <c r="A171" s="21">
        <v>45492</v>
      </c>
      <c r="B171" s="22">
        <f>MONTH('cash book - Argenta'!$A171)</f>
        <v>7</v>
      </c>
      <c r="C171" s="23">
        <f t="shared" si="0"/>
        <v>2024</v>
      </c>
      <c r="D171" s="23"/>
      <c r="E171" s="22"/>
      <c r="F171" s="24"/>
      <c r="G171" s="24"/>
      <c r="H171" s="24">
        <f>H170+'cash book - Argenta'!$F171-'cash book - Argenta'!$G171</f>
        <v>5025</v>
      </c>
    </row>
    <row r="172" spans="1:8" ht="34.5" customHeight="1" x14ac:dyDescent="0.25">
      <c r="A172" s="25">
        <v>45495</v>
      </c>
      <c r="B172" s="22">
        <f>MONTH('cash book - Argenta'!$A172)</f>
        <v>7</v>
      </c>
      <c r="C172" s="23">
        <f t="shared" si="0"/>
        <v>2024</v>
      </c>
      <c r="D172" s="23"/>
      <c r="E172" s="22"/>
      <c r="F172" s="24"/>
      <c r="G172" s="24"/>
      <c r="H172" s="24">
        <f>H171+'cash book - Argenta'!$F172-'cash book - Argenta'!$G172</f>
        <v>5025</v>
      </c>
    </row>
    <row r="173" spans="1:8" ht="34.5" customHeight="1" x14ac:dyDescent="0.25">
      <c r="A173" s="21">
        <v>45495</v>
      </c>
      <c r="B173" s="22">
        <f>MONTH('cash book - Argenta'!$A173)</f>
        <v>7</v>
      </c>
      <c r="C173" s="23">
        <f t="shared" si="0"/>
        <v>2024</v>
      </c>
      <c r="D173" s="23"/>
      <c r="E173" s="22"/>
      <c r="F173" s="24"/>
      <c r="G173" s="24"/>
      <c r="H173" s="24">
        <f>H172+'cash book - Argenta'!$F173-'cash book - Argenta'!$G173</f>
        <v>5025</v>
      </c>
    </row>
    <row r="174" spans="1:8" ht="33" customHeight="1" x14ac:dyDescent="0.25">
      <c r="A174" s="25">
        <v>45497</v>
      </c>
      <c r="B174" s="22">
        <f>MONTH('cash book - Argenta'!$A174)</f>
        <v>7</v>
      </c>
      <c r="C174" s="23">
        <f t="shared" si="0"/>
        <v>2024</v>
      </c>
      <c r="D174" s="23"/>
      <c r="E174" s="22"/>
      <c r="F174" s="24"/>
      <c r="G174" s="24"/>
      <c r="H174" s="24">
        <f>H173+'cash book - Argenta'!$F174-'cash book - Argenta'!$G174</f>
        <v>5025</v>
      </c>
    </row>
    <row r="175" spans="1:8" ht="34.5" customHeight="1" x14ac:dyDescent="0.25">
      <c r="A175" s="21">
        <v>45497</v>
      </c>
      <c r="B175" s="22">
        <f>MONTH('cash book - Argenta'!$A175)</f>
        <v>7</v>
      </c>
      <c r="C175" s="23">
        <f t="shared" si="0"/>
        <v>2024</v>
      </c>
      <c r="D175" s="23"/>
      <c r="E175" s="22"/>
      <c r="F175" s="24"/>
      <c r="G175" s="24"/>
      <c r="H175" s="24">
        <f>H174+'cash book - Argenta'!$F175-'cash book - Argenta'!$G175</f>
        <v>5025</v>
      </c>
    </row>
    <row r="176" spans="1:8" ht="34.5" customHeight="1" x14ac:dyDescent="0.25">
      <c r="A176" s="25">
        <v>45498</v>
      </c>
      <c r="B176" s="22">
        <f>MONTH('cash book - Argenta'!$A176)</f>
        <v>7</v>
      </c>
      <c r="C176" s="23">
        <f t="shared" si="0"/>
        <v>2024</v>
      </c>
      <c r="D176" s="23"/>
      <c r="E176" s="22"/>
      <c r="F176" s="24"/>
      <c r="G176" s="24"/>
      <c r="H176" s="24">
        <f>H175+'cash book - Argenta'!$F176-'cash book - Argenta'!$G176</f>
        <v>5025</v>
      </c>
    </row>
    <row r="177" spans="1:13" ht="34.5" customHeight="1" x14ac:dyDescent="0.25">
      <c r="A177" s="21">
        <v>45499</v>
      </c>
      <c r="B177" s="22">
        <f>MONTH('cash book - Argenta'!$A177)</f>
        <v>7</v>
      </c>
      <c r="C177" s="23">
        <f t="shared" si="0"/>
        <v>2024</v>
      </c>
      <c r="D177" s="23"/>
      <c r="E177" s="22"/>
      <c r="F177" s="24"/>
      <c r="G177" s="24"/>
      <c r="H177" s="24">
        <f>H176+'cash book - Argenta'!$F177-'cash book - Argenta'!$G177</f>
        <v>5025</v>
      </c>
      <c r="M177" s="12"/>
    </row>
    <row r="178" spans="1:13" ht="34.5" customHeight="1" x14ac:dyDescent="0.25">
      <c r="A178" s="25">
        <v>45499</v>
      </c>
      <c r="B178" s="22">
        <f>MONTH('cash book - Argenta'!$A178)</f>
        <v>7</v>
      </c>
      <c r="C178" s="23">
        <f t="shared" si="0"/>
        <v>2024</v>
      </c>
      <c r="D178" s="23"/>
      <c r="E178" s="22"/>
      <c r="F178" s="24"/>
      <c r="G178" s="24"/>
      <c r="H178" s="24">
        <f>H177+'cash book - Argenta'!$F178-'cash book - Argenta'!$G178</f>
        <v>5025</v>
      </c>
    </row>
    <row r="179" spans="1:13" ht="34.5" customHeight="1" x14ac:dyDescent="0.25">
      <c r="A179" s="21">
        <v>45499</v>
      </c>
      <c r="B179" s="22">
        <f>MONTH('cash book - Argenta'!$A179)</f>
        <v>7</v>
      </c>
      <c r="C179" s="23">
        <f t="shared" si="0"/>
        <v>2024</v>
      </c>
      <c r="D179" s="23"/>
      <c r="E179" s="22"/>
      <c r="F179" s="24"/>
      <c r="G179" s="24"/>
      <c r="H179" s="24">
        <f>H178+'cash book - Argenta'!$F179-'cash book - Argenta'!$G179</f>
        <v>5025</v>
      </c>
    </row>
    <row r="180" spans="1:13" ht="34.5" customHeight="1" x14ac:dyDescent="0.25">
      <c r="A180" s="25">
        <v>45502</v>
      </c>
      <c r="B180" s="22">
        <f>MONTH('cash book - Argenta'!$A180)</f>
        <v>7</v>
      </c>
      <c r="C180" s="23">
        <f t="shared" si="0"/>
        <v>2024</v>
      </c>
      <c r="D180" s="23"/>
      <c r="E180" s="22"/>
      <c r="F180" s="24"/>
      <c r="G180" s="24"/>
      <c r="H180" s="24">
        <f>H179+'cash book - Argenta'!$F180-'cash book - Argenta'!$G180</f>
        <v>5025</v>
      </c>
    </row>
    <row r="181" spans="1:13" ht="33" customHeight="1" x14ac:dyDescent="0.25">
      <c r="A181" s="21">
        <v>45502</v>
      </c>
      <c r="B181" s="22">
        <f>MONTH('cash book - Argenta'!$A181)</f>
        <v>7</v>
      </c>
      <c r="C181" s="23">
        <f t="shared" si="0"/>
        <v>2024</v>
      </c>
      <c r="D181" s="23"/>
      <c r="E181" s="22"/>
      <c r="F181" s="24"/>
      <c r="G181" s="24"/>
      <c r="H181" s="24">
        <f>H180+'cash book - Argenta'!$F181-'cash book - Argenta'!$G181</f>
        <v>5025</v>
      </c>
    </row>
    <row r="182" spans="1:13" ht="34.5" customHeight="1" x14ac:dyDescent="0.25">
      <c r="A182" s="25">
        <v>45503</v>
      </c>
      <c r="B182" s="22">
        <f>MONTH('cash book - Argenta'!$A182)</f>
        <v>7</v>
      </c>
      <c r="C182" s="23">
        <f t="shared" si="0"/>
        <v>2024</v>
      </c>
      <c r="D182" s="23"/>
      <c r="E182" s="22"/>
      <c r="F182" s="24"/>
      <c r="G182" s="24"/>
      <c r="H182" s="24">
        <f>H181+'cash book - Argenta'!$F182-'cash book - Argenta'!$G182</f>
        <v>5025</v>
      </c>
    </row>
    <row r="183" spans="1:13" ht="34.5" customHeight="1" x14ac:dyDescent="0.25">
      <c r="A183" s="21">
        <v>45503</v>
      </c>
      <c r="B183" s="22">
        <f>MONTH('cash book - Argenta'!$A183)</f>
        <v>7</v>
      </c>
      <c r="C183" s="23">
        <f t="shared" si="0"/>
        <v>2024</v>
      </c>
      <c r="D183" s="23"/>
      <c r="E183" s="22"/>
      <c r="F183" s="24"/>
      <c r="G183" s="24"/>
      <c r="H183" s="24">
        <f>H182+'cash book - Argenta'!$F183-'cash book - Argenta'!$G183</f>
        <v>5025</v>
      </c>
    </row>
    <row r="184" spans="1:13" ht="34.5" customHeight="1" x14ac:dyDescent="0.25">
      <c r="A184" s="25">
        <v>45503</v>
      </c>
      <c r="B184" s="22">
        <f>MONTH('cash book - Argenta'!$A184)</f>
        <v>7</v>
      </c>
      <c r="C184" s="23">
        <f t="shared" si="0"/>
        <v>2024</v>
      </c>
      <c r="D184" s="23"/>
      <c r="E184" s="22"/>
      <c r="F184" s="24"/>
      <c r="G184" s="24"/>
      <c r="H184" s="24">
        <f>H183+'cash book - Argenta'!$F184-'cash book - Argenta'!$G184</f>
        <v>5025</v>
      </c>
    </row>
    <row r="185" spans="1:13" ht="34.5" customHeight="1" x14ac:dyDescent="0.25">
      <c r="A185" s="21">
        <v>45503</v>
      </c>
      <c r="B185" s="22">
        <f>MONTH('cash book - Argenta'!$A185)</f>
        <v>7</v>
      </c>
      <c r="C185" s="23">
        <f t="shared" si="0"/>
        <v>2024</v>
      </c>
      <c r="D185" s="23"/>
      <c r="E185" s="22"/>
      <c r="F185" s="24"/>
      <c r="G185" s="24"/>
      <c r="H185" s="24">
        <f>H184+'cash book - Argenta'!$F185-'cash book - Argenta'!$G185</f>
        <v>5025</v>
      </c>
    </row>
    <row r="186" spans="1:13" ht="34.5" customHeight="1" x14ac:dyDescent="0.25">
      <c r="A186" s="25">
        <v>45503</v>
      </c>
      <c r="B186" s="22">
        <f>MONTH('cash book - Argenta'!$A186)</f>
        <v>7</v>
      </c>
      <c r="C186" s="23">
        <f t="shared" si="0"/>
        <v>2024</v>
      </c>
      <c r="D186" s="23"/>
      <c r="E186" s="22"/>
      <c r="F186" s="24"/>
      <c r="G186" s="24"/>
      <c r="H186" s="24">
        <f>H185+'cash book - Argenta'!$F186-'cash book - Argenta'!$G186</f>
        <v>5025</v>
      </c>
    </row>
    <row r="187" spans="1:13" ht="33" customHeight="1" x14ac:dyDescent="0.25">
      <c r="A187" s="21">
        <v>45504</v>
      </c>
      <c r="B187" s="22">
        <f>MONTH('cash book - Argenta'!$A187)</f>
        <v>7</v>
      </c>
      <c r="C187" s="23">
        <f t="shared" si="0"/>
        <v>2024</v>
      </c>
      <c r="D187" s="23"/>
      <c r="E187" s="22"/>
      <c r="F187" s="24"/>
      <c r="G187" s="24"/>
      <c r="H187" s="24">
        <f>H186+'cash book - Argenta'!$F187-'cash book - Argenta'!$G187</f>
        <v>5025</v>
      </c>
    </row>
    <row r="188" spans="1:13" ht="34.5" customHeight="1" x14ac:dyDescent="0.25">
      <c r="A188" s="25">
        <v>45504</v>
      </c>
      <c r="B188" s="22">
        <f>MONTH('cash book - Argenta'!$A188)</f>
        <v>7</v>
      </c>
      <c r="C188" s="23">
        <f t="shared" si="0"/>
        <v>2024</v>
      </c>
      <c r="D188" s="23"/>
      <c r="E188" s="22"/>
      <c r="F188" s="24"/>
      <c r="G188" s="24"/>
      <c r="H188" s="24">
        <f>H187+'cash book - Argenta'!$F188-'cash book - Argenta'!$G188</f>
        <v>5025</v>
      </c>
    </row>
    <row r="189" spans="1:13" ht="33" customHeight="1" x14ac:dyDescent="0.25">
      <c r="A189" s="21">
        <v>45504</v>
      </c>
      <c r="B189" s="22">
        <f>MONTH('cash book - Argenta'!$A189)</f>
        <v>7</v>
      </c>
      <c r="C189" s="23">
        <f t="shared" si="0"/>
        <v>2024</v>
      </c>
      <c r="D189" s="23"/>
      <c r="E189" s="22"/>
      <c r="F189" s="24"/>
      <c r="G189" s="24"/>
      <c r="H189" s="24">
        <f>H188+'cash book - Argenta'!$F189-'cash book - Argenta'!$G189</f>
        <v>5025</v>
      </c>
    </row>
    <row r="190" spans="1:13" ht="34.5" customHeight="1" x14ac:dyDescent="0.25">
      <c r="A190" s="25">
        <v>45505</v>
      </c>
      <c r="B190" s="22">
        <f>MONTH('cash book - Argenta'!$A190)</f>
        <v>8</v>
      </c>
      <c r="C190" s="23">
        <f t="shared" si="0"/>
        <v>2024</v>
      </c>
      <c r="D190" s="23"/>
      <c r="E190" s="22"/>
      <c r="F190" s="24"/>
      <c r="G190" s="24"/>
      <c r="H190" s="24">
        <f>H189+'cash book - Argenta'!$F190-'cash book - Argenta'!$G190</f>
        <v>5025</v>
      </c>
    </row>
    <row r="191" spans="1:13" ht="34.5" customHeight="1" x14ac:dyDescent="0.25">
      <c r="A191" s="21">
        <v>45506</v>
      </c>
      <c r="B191" s="22">
        <f>MONTH('cash book - Argenta'!$A191)</f>
        <v>8</v>
      </c>
      <c r="C191" s="23">
        <f t="shared" si="0"/>
        <v>2024</v>
      </c>
      <c r="D191" s="23"/>
      <c r="E191" s="22"/>
      <c r="F191" s="24"/>
      <c r="G191" s="24"/>
      <c r="H191" s="24">
        <f>H190+'cash book - Argenta'!$F191-'cash book - Argenta'!$G191</f>
        <v>5025</v>
      </c>
    </row>
    <row r="192" spans="1:13" ht="34.5" customHeight="1" x14ac:dyDescent="0.25">
      <c r="A192" s="25">
        <v>45509</v>
      </c>
      <c r="B192" s="22">
        <f>MONTH('cash book - Argenta'!$A192)</f>
        <v>8</v>
      </c>
      <c r="C192" s="23">
        <f t="shared" si="0"/>
        <v>2024</v>
      </c>
      <c r="D192" s="23"/>
      <c r="E192" s="22"/>
      <c r="F192" s="24"/>
      <c r="G192" s="24"/>
      <c r="H192" s="24">
        <f>H191+'cash book - Argenta'!$F192-'cash book - Argenta'!$G192</f>
        <v>5025</v>
      </c>
    </row>
    <row r="193" spans="1:12" ht="33" customHeight="1" x14ac:dyDescent="0.25">
      <c r="A193" s="21">
        <v>45509</v>
      </c>
      <c r="B193" s="22">
        <f>MONTH('cash book - Argenta'!$A193)</f>
        <v>8</v>
      </c>
      <c r="C193" s="23">
        <f t="shared" si="0"/>
        <v>2024</v>
      </c>
      <c r="D193" s="23"/>
      <c r="E193" s="22"/>
      <c r="F193" s="24"/>
      <c r="G193" s="24"/>
      <c r="H193" s="24">
        <f>H192+'cash book - Argenta'!$F193-'cash book - Argenta'!$G193</f>
        <v>5025</v>
      </c>
    </row>
    <row r="194" spans="1:12" ht="34.5" customHeight="1" x14ac:dyDescent="0.25">
      <c r="A194" s="25">
        <v>45509</v>
      </c>
      <c r="B194" s="22">
        <f>MONTH('cash book - Argenta'!$A194)</f>
        <v>8</v>
      </c>
      <c r="C194" s="23">
        <f t="shared" si="0"/>
        <v>2024</v>
      </c>
      <c r="D194" s="23"/>
      <c r="E194" s="22"/>
      <c r="F194" s="24"/>
      <c r="G194" s="24"/>
      <c r="H194" s="24">
        <f>H193+'cash book - Argenta'!$F194-'cash book - Argenta'!$G194</f>
        <v>5025</v>
      </c>
    </row>
    <row r="195" spans="1:12" ht="34.5" customHeight="1" x14ac:dyDescent="0.25">
      <c r="A195" s="21">
        <v>45509</v>
      </c>
      <c r="B195" s="22">
        <f>MONTH('cash book - Argenta'!$A195)</f>
        <v>8</v>
      </c>
      <c r="C195" s="23">
        <f t="shared" si="0"/>
        <v>2024</v>
      </c>
      <c r="D195" s="23"/>
      <c r="E195" s="22"/>
      <c r="F195" s="24"/>
      <c r="G195" s="24"/>
      <c r="H195" s="24">
        <f>H194+'cash book - Argenta'!$F195-'cash book - Argenta'!$G195</f>
        <v>5025</v>
      </c>
    </row>
    <row r="196" spans="1:12" ht="34.5" customHeight="1" x14ac:dyDescent="0.25">
      <c r="A196" s="25">
        <v>45509</v>
      </c>
      <c r="B196" s="22">
        <f>MONTH('cash book - Argenta'!$A196)</f>
        <v>8</v>
      </c>
      <c r="C196" s="23">
        <f t="shared" si="0"/>
        <v>2024</v>
      </c>
      <c r="D196" s="23"/>
      <c r="E196" s="22"/>
      <c r="F196" s="24"/>
      <c r="G196" s="24"/>
      <c r="H196" s="24">
        <f>H195+'cash book - Argenta'!$F196-'cash book - Argenta'!$G196</f>
        <v>5025</v>
      </c>
    </row>
    <row r="197" spans="1:12" ht="34.5" customHeight="1" x14ac:dyDescent="0.25">
      <c r="A197" s="21">
        <v>45509</v>
      </c>
      <c r="B197" s="22">
        <f>MONTH('cash book - Argenta'!$A197)</f>
        <v>8</v>
      </c>
      <c r="C197" s="23">
        <f t="shared" si="0"/>
        <v>2024</v>
      </c>
      <c r="D197" s="23"/>
      <c r="E197" s="22"/>
      <c r="F197" s="24"/>
      <c r="G197" s="24"/>
      <c r="H197" s="24">
        <f>H196+'cash book - Argenta'!$F197-'cash book - Argenta'!$G197</f>
        <v>5025</v>
      </c>
    </row>
    <row r="198" spans="1:12" ht="34.5" customHeight="1" x14ac:dyDescent="0.25">
      <c r="A198" s="25">
        <v>45511</v>
      </c>
      <c r="B198" s="22">
        <f>MONTH('cash book - Argenta'!$A198)</f>
        <v>8</v>
      </c>
      <c r="C198" s="23">
        <f t="shared" si="0"/>
        <v>2024</v>
      </c>
      <c r="D198" s="23"/>
      <c r="E198" s="22"/>
      <c r="F198" s="24"/>
      <c r="G198" s="24"/>
      <c r="H198" s="24">
        <f>H197+'cash book - Argenta'!$F198-'cash book - Argenta'!$G198</f>
        <v>5025</v>
      </c>
      <c r="L198" s="12"/>
    </row>
    <row r="199" spans="1:12" ht="33" customHeight="1" x14ac:dyDescent="0.25">
      <c r="A199" s="21">
        <v>45513</v>
      </c>
      <c r="B199" s="22">
        <f>MONTH('cash book - Argenta'!$A199)</f>
        <v>8</v>
      </c>
      <c r="C199" s="23">
        <f t="shared" si="0"/>
        <v>2024</v>
      </c>
      <c r="D199" s="23"/>
      <c r="E199" s="22"/>
      <c r="F199" s="24"/>
      <c r="G199" s="24"/>
      <c r="H199" s="24">
        <f>H198+'cash book - Argenta'!$F199-'cash book - Argenta'!$G199</f>
        <v>5025</v>
      </c>
    </row>
    <row r="200" spans="1:12" ht="34.5" customHeight="1" x14ac:dyDescent="0.25">
      <c r="A200" s="25">
        <v>45515</v>
      </c>
      <c r="B200" s="22">
        <f>MONTH('cash book - Argenta'!$A200)</f>
        <v>8</v>
      </c>
      <c r="C200" s="23">
        <f t="shared" si="0"/>
        <v>2024</v>
      </c>
      <c r="D200" s="23"/>
      <c r="E200" s="22"/>
      <c r="F200" s="24"/>
      <c r="G200" s="24"/>
      <c r="H200" s="24">
        <f>H199+'cash book - Argenta'!$F200-'cash book - Argenta'!$G200</f>
        <v>5025</v>
      </c>
    </row>
    <row r="201" spans="1:12" ht="34.5" customHeight="1" x14ac:dyDescent="0.25">
      <c r="A201" s="21">
        <v>45515</v>
      </c>
      <c r="B201" s="22">
        <f>MONTH('cash book - Argenta'!$A201)</f>
        <v>8</v>
      </c>
      <c r="C201" s="23">
        <f t="shared" si="0"/>
        <v>2024</v>
      </c>
      <c r="D201" s="23"/>
      <c r="E201" s="22"/>
      <c r="F201" s="24"/>
      <c r="G201" s="24"/>
      <c r="H201" s="24">
        <f>H200+'cash book - Argenta'!$F201-'cash book - Argenta'!$G201</f>
        <v>5025</v>
      </c>
    </row>
    <row r="202" spans="1:12" ht="34.5" customHeight="1" x14ac:dyDescent="0.25">
      <c r="A202" s="25">
        <v>45515</v>
      </c>
      <c r="B202" s="22">
        <f>MONTH('cash book - Argenta'!$A202)</f>
        <v>8</v>
      </c>
      <c r="C202" s="23">
        <f t="shared" si="0"/>
        <v>2024</v>
      </c>
      <c r="D202" s="23"/>
      <c r="E202" s="22"/>
      <c r="F202" s="24"/>
      <c r="G202" s="24"/>
      <c r="H202" s="24">
        <f>H201+'cash book - Argenta'!$F202-'cash book - Argenta'!$G202</f>
        <v>5025</v>
      </c>
    </row>
    <row r="203" spans="1:12" ht="34.5" customHeight="1" x14ac:dyDescent="0.25">
      <c r="A203" s="21">
        <v>45515</v>
      </c>
      <c r="B203" s="22">
        <f>MONTH('cash book - Argenta'!$A203)</f>
        <v>8</v>
      </c>
      <c r="C203" s="23">
        <f t="shared" si="0"/>
        <v>2024</v>
      </c>
      <c r="D203" s="23"/>
      <c r="E203" s="22"/>
      <c r="F203" s="24"/>
      <c r="G203" s="24"/>
      <c r="H203" s="24">
        <f>H202+'cash book - Argenta'!$F203-'cash book - Argenta'!$G203</f>
        <v>5025</v>
      </c>
    </row>
    <row r="204" spans="1:12" ht="34.5" customHeight="1" x14ac:dyDescent="0.25">
      <c r="A204" s="25">
        <v>45515</v>
      </c>
      <c r="B204" s="22">
        <f>MONTH('cash book - Argenta'!$A204)</f>
        <v>8</v>
      </c>
      <c r="C204" s="23">
        <f t="shared" si="0"/>
        <v>2024</v>
      </c>
      <c r="D204" s="23"/>
      <c r="E204" s="22"/>
      <c r="F204" s="24"/>
      <c r="G204" s="24"/>
      <c r="H204" s="24">
        <f>H203+'cash book - Argenta'!$F204-'cash book - Argenta'!$G204</f>
        <v>5025</v>
      </c>
    </row>
    <row r="205" spans="1:12" ht="34.5" customHeight="1" x14ac:dyDescent="0.25">
      <c r="A205" s="21">
        <v>45516</v>
      </c>
      <c r="B205" s="22">
        <f>MONTH('cash book - Argenta'!$A205)</f>
        <v>8</v>
      </c>
      <c r="C205" s="23">
        <f t="shared" si="0"/>
        <v>2024</v>
      </c>
      <c r="D205" s="23"/>
      <c r="E205" s="22"/>
      <c r="F205" s="24"/>
      <c r="G205" s="24"/>
      <c r="H205" s="24">
        <f>H204+'cash book - Argenta'!$F205-'cash book - Argenta'!$G205</f>
        <v>5025</v>
      </c>
    </row>
    <row r="206" spans="1:12" ht="34.5" customHeight="1" x14ac:dyDescent="0.25">
      <c r="A206" s="25">
        <v>45517</v>
      </c>
      <c r="B206" s="22">
        <f>MONTH('cash book - Argenta'!$A206)</f>
        <v>8</v>
      </c>
      <c r="C206" s="23">
        <f t="shared" si="0"/>
        <v>2024</v>
      </c>
      <c r="D206" s="23"/>
      <c r="E206" s="22"/>
      <c r="F206" s="24"/>
      <c r="G206" s="24"/>
      <c r="H206" s="24">
        <f>H205+'cash book - Argenta'!$F206-'cash book - Argenta'!$G206</f>
        <v>5025</v>
      </c>
    </row>
    <row r="207" spans="1:12" ht="34.5" customHeight="1" x14ac:dyDescent="0.25">
      <c r="A207" s="21">
        <v>45517</v>
      </c>
      <c r="B207" s="22">
        <f>MONTH('cash book - Argenta'!$A207)</f>
        <v>8</v>
      </c>
      <c r="C207" s="23">
        <f t="shared" si="0"/>
        <v>2024</v>
      </c>
      <c r="D207" s="23"/>
      <c r="E207" s="22"/>
      <c r="F207" s="24"/>
      <c r="G207" s="24"/>
      <c r="H207" s="24">
        <f>H206+'cash book - Argenta'!$F207-'cash book - Argenta'!$G207</f>
        <v>5025</v>
      </c>
    </row>
    <row r="208" spans="1:12" ht="33" customHeight="1" x14ac:dyDescent="0.25">
      <c r="A208" s="25">
        <v>45519</v>
      </c>
      <c r="B208" s="22">
        <f>MONTH('cash book - Argenta'!$A208)</f>
        <v>8</v>
      </c>
      <c r="C208" s="23">
        <f t="shared" si="0"/>
        <v>2024</v>
      </c>
      <c r="D208" s="23"/>
      <c r="E208" s="22"/>
      <c r="F208" s="24"/>
      <c r="G208" s="24"/>
      <c r="H208" s="24">
        <f>H207+'cash book - Argenta'!$F208-'cash book - Argenta'!$G208</f>
        <v>5025</v>
      </c>
    </row>
    <row r="209" spans="1:8" ht="34.5" customHeight="1" x14ac:dyDescent="0.25">
      <c r="A209" s="21">
        <v>45519</v>
      </c>
      <c r="B209" s="22">
        <f>MONTH('cash book - Argenta'!$A209)</f>
        <v>8</v>
      </c>
      <c r="C209" s="23">
        <f t="shared" si="0"/>
        <v>2024</v>
      </c>
      <c r="D209" s="23"/>
      <c r="E209" s="22"/>
      <c r="F209" s="24"/>
      <c r="G209" s="24"/>
      <c r="H209" s="24">
        <f>H208+'cash book - Argenta'!$F209-'cash book - Argenta'!$G209</f>
        <v>5025</v>
      </c>
    </row>
    <row r="210" spans="1:8" ht="34.5" customHeight="1" x14ac:dyDescent="0.25">
      <c r="A210" s="25">
        <v>45519</v>
      </c>
      <c r="B210" s="22">
        <f>MONTH('cash book - Argenta'!$A210)</f>
        <v>8</v>
      </c>
      <c r="C210" s="23">
        <f t="shared" si="0"/>
        <v>2024</v>
      </c>
      <c r="D210" s="23"/>
      <c r="E210" s="22"/>
      <c r="F210" s="24"/>
      <c r="G210" s="24"/>
      <c r="H210" s="24">
        <f>H209+'cash book - Argenta'!$F210-'cash book - Argenta'!$G210</f>
        <v>5025</v>
      </c>
    </row>
    <row r="211" spans="1:8" ht="34.5" customHeight="1" x14ac:dyDescent="0.25">
      <c r="A211" s="21">
        <v>45520</v>
      </c>
      <c r="B211" s="22">
        <f>MONTH('cash book - Argenta'!$A211)</f>
        <v>8</v>
      </c>
      <c r="C211" s="23">
        <f t="shared" si="0"/>
        <v>2024</v>
      </c>
      <c r="D211" s="23"/>
      <c r="E211" s="22"/>
      <c r="F211" s="24"/>
      <c r="G211" s="24"/>
      <c r="H211" s="24">
        <f>H210+'cash book - Argenta'!$F211-'cash book - Argenta'!$G211</f>
        <v>5025</v>
      </c>
    </row>
    <row r="212" spans="1:8" ht="34.5" customHeight="1" x14ac:dyDescent="0.25">
      <c r="A212" s="25">
        <v>45520</v>
      </c>
      <c r="B212" s="22">
        <f>MONTH('cash book - Argenta'!$A212)</f>
        <v>8</v>
      </c>
      <c r="C212" s="23">
        <f t="shared" si="0"/>
        <v>2024</v>
      </c>
      <c r="D212" s="23"/>
      <c r="E212" s="22"/>
      <c r="F212" s="24"/>
      <c r="G212" s="24"/>
      <c r="H212" s="24">
        <f>H211+'cash book - Argenta'!$F212-'cash book - Argenta'!$G212</f>
        <v>5025</v>
      </c>
    </row>
    <row r="213" spans="1:8" ht="34.5" customHeight="1" x14ac:dyDescent="0.25">
      <c r="A213" s="21">
        <v>45520</v>
      </c>
      <c r="B213" s="22">
        <f>MONTH('cash book - Argenta'!$A213)</f>
        <v>8</v>
      </c>
      <c r="C213" s="23">
        <f t="shared" si="0"/>
        <v>2024</v>
      </c>
      <c r="D213" s="23"/>
      <c r="E213" s="22"/>
      <c r="F213" s="24"/>
      <c r="G213" s="24"/>
      <c r="H213" s="24">
        <f>H212+'cash book - Argenta'!$F213-'cash book - Argenta'!$G213</f>
        <v>5025</v>
      </c>
    </row>
    <row r="214" spans="1:8" ht="33" customHeight="1" x14ac:dyDescent="0.25">
      <c r="A214" s="25">
        <v>45520</v>
      </c>
      <c r="B214" s="22">
        <f>MONTH('cash book - Argenta'!$A214)</f>
        <v>8</v>
      </c>
      <c r="C214" s="23">
        <f t="shared" si="0"/>
        <v>2024</v>
      </c>
      <c r="D214" s="23"/>
      <c r="E214" s="22"/>
      <c r="F214" s="24"/>
      <c r="G214" s="24"/>
      <c r="H214" s="24">
        <f>H213+'cash book - Argenta'!$F214-'cash book - Argenta'!$G214</f>
        <v>5025</v>
      </c>
    </row>
    <row r="215" spans="1:8" ht="34.5" customHeight="1" x14ac:dyDescent="0.25">
      <c r="A215" s="21">
        <v>45520</v>
      </c>
      <c r="B215" s="22">
        <f>MONTH('cash book - Argenta'!$A215)</f>
        <v>8</v>
      </c>
      <c r="C215" s="23">
        <f t="shared" si="0"/>
        <v>2024</v>
      </c>
      <c r="D215" s="23"/>
      <c r="E215" s="22"/>
      <c r="F215" s="24"/>
      <c r="G215" s="24"/>
      <c r="H215" s="24">
        <f>H214+'cash book - Argenta'!$F215-'cash book - Argenta'!$G215</f>
        <v>5025</v>
      </c>
    </row>
    <row r="216" spans="1:8" ht="34.5" customHeight="1" x14ac:dyDescent="0.25">
      <c r="A216" s="25">
        <v>45521</v>
      </c>
      <c r="B216" s="22">
        <f>MONTH('cash book - Argenta'!$A216)</f>
        <v>8</v>
      </c>
      <c r="C216" s="23">
        <f t="shared" si="0"/>
        <v>2024</v>
      </c>
      <c r="D216" s="23"/>
      <c r="E216" s="22"/>
      <c r="F216" s="24"/>
      <c r="G216" s="24"/>
      <c r="H216" s="24">
        <f>H215+'cash book - Argenta'!$F216-'cash book - Argenta'!$G216</f>
        <v>5025</v>
      </c>
    </row>
    <row r="217" spans="1:8" ht="34.5" customHeight="1" x14ac:dyDescent="0.25">
      <c r="A217" s="21">
        <v>45521</v>
      </c>
      <c r="B217" s="22">
        <f>MONTH('cash book - Argenta'!$A217)</f>
        <v>8</v>
      </c>
      <c r="C217" s="23">
        <f t="shared" si="0"/>
        <v>2024</v>
      </c>
      <c r="D217" s="23"/>
      <c r="E217" s="22"/>
      <c r="F217" s="24"/>
      <c r="G217" s="24"/>
      <c r="H217" s="24">
        <f>H216+'cash book - Argenta'!$F217-'cash book - Argenta'!$G217</f>
        <v>5025</v>
      </c>
    </row>
    <row r="218" spans="1:8" ht="33" customHeight="1" x14ac:dyDescent="0.25">
      <c r="A218" s="25">
        <v>45523</v>
      </c>
      <c r="B218" s="22">
        <f>MONTH('cash book - Argenta'!$A218)</f>
        <v>8</v>
      </c>
      <c r="C218" s="23">
        <f t="shared" si="0"/>
        <v>2024</v>
      </c>
      <c r="D218" s="23"/>
      <c r="E218" s="22"/>
      <c r="F218" s="24"/>
      <c r="G218" s="24"/>
      <c r="H218" s="24">
        <f>H217+'cash book - Argenta'!$F218-'cash book - Argenta'!$G218</f>
        <v>5025</v>
      </c>
    </row>
    <row r="219" spans="1:8" ht="34.5" customHeight="1" x14ac:dyDescent="0.25">
      <c r="A219" s="21">
        <v>45527</v>
      </c>
      <c r="B219" s="22">
        <f>MONTH('cash book - Argenta'!$A219)</f>
        <v>8</v>
      </c>
      <c r="C219" s="23">
        <f t="shared" si="0"/>
        <v>2024</v>
      </c>
      <c r="D219" s="23"/>
      <c r="E219" s="22"/>
      <c r="F219" s="24"/>
      <c r="G219" s="24"/>
      <c r="H219" s="24">
        <f>H218+'cash book - Argenta'!$F219-'cash book - Argenta'!$G219</f>
        <v>5025</v>
      </c>
    </row>
    <row r="220" spans="1:8" ht="34.5" customHeight="1" x14ac:dyDescent="0.25">
      <c r="A220" s="25">
        <v>45527</v>
      </c>
      <c r="B220" s="22">
        <f>MONTH('cash book - Argenta'!$A220)</f>
        <v>8</v>
      </c>
      <c r="C220" s="23">
        <f t="shared" si="0"/>
        <v>2024</v>
      </c>
      <c r="D220" s="23"/>
      <c r="E220" s="22"/>
      <c r="F220" s="24"/>
      <c r="G220" s="24"/>
      <c r="H220" s="24">
        <f>H219+'cash book - Argenta'!$F220-'cash book - Argenta'!$G220</f>
        <v>5025</v>
      </c>
    </row>
    <row r="221" spans="1:8" ht="34.5" customHeight="1" x14ac:dyDescent="0.25">
      <c r="A221" s="21">
        <v>45527</v>
      </c>
      <c r="B221" s="22">
        <f>MONTH('cash book - Argenta'!$A221)</f>
        <v>8</v>
      </c>
      <c r="C221" s="23">
        <f t="shared" si="0"/>
        <v>2024</v>
      </c>
      <c r="D221" s="23"/>
      <c r="E221" s="22"/>
      <c r="F221" s="24"/>
      <c r="G221" s="24"/>
      <c r="H221" s="24">
        <f>H220+'cash book - Argenta'!$F221-'cash book - Argenta'!$G221</f>
        <v>5025</v>
      </c>
    </row>
    <row r="222" spans="1:8" ht="33" customHeight="1" x14ac:dyDescent="0.25">
      <c r="A222" s="25">
        <v>45531</v>
      </c>
      <c r="B222" s="22">
        <f>MONTH('cash book - Argenta'!$A222)</f>
        <v>8</v>
      </c>
      <c r="C222" s="23">
        <f t="shared" si="0"/>
        <v>2024</v>
      </c>
      <c r="D222" s="23"/>
      <c r="E222" s="22"/>
      <c r="F222" s="24"/>
      <c r="G222" s="24"/>
      <c r="H222" s="24">
        <f>H221+'cash book - Argenta'!$F222-'cash book - Argenta'!$G222</f>
        <v>5025</v>
      </c>
    </row>
    <row r="223" spans="1:8" ht="34.5" customHeight="1" x14ac:dyDescent="0.25">
      <c r="A223" s="21">
        <v>45532</v>
      </c>
      <c r="B223" s="22">
        <f>MONTH('cash book - Argenta'!$A223)</f>
        <v>8</v>
      </c>
      <c r="C223" s="23">
        <f t="shared" si="0"/>
        <v>2024</v>
      </c>
      <c r="D223" s="23"/>
      <c r="E223" s="22"/>
      <c r="F223" s="24"/>
      <c r="G223" s="24"/>
      <c r="H223" s="24">
        <f>H222+'cash book - Argenta'!$F223-'cash book - Argenta'!$G223</f>
        <v>5025</v>
      </c>
    </row>
    <row r="224" spans="1:8" ht="34.5" customHeight="1" x14ac:dyDescent="0.25">
      <c r="A224" s="25">
        <v>45533</v>
      </c>
      <c r="B224" s="22">
        <f>MONTH('cash book - Argenta'!$A224)</f>
        <v>8</v>
      </c>
      <c r="C224" s="23">
        <f t="shared" si="0"/>
        <v>2024</v>
      </c>
      <c r="D224" s="23"/>
      <c r="E224" s="22"/>
      <c r="F224" s="24"/>
      <c r="G224" s="24"/>
      <c r="H224" s="24">
        <f>H223+'cash book - Argenta'!$F224-'cash book - Argenta'!$G224</f>
        <v>5025</v>
      </c>
    </row>
    <row r="225" spans="1:11" ht="34.5" customHeight="1" x14ac:dyDescent="0.25">
      <c r="A225" s="21">
        <v>45534</v>
      </c>
      <c r="B225" s="22">
        <f>MONTH('cash book - Argenta'!$A225)</f>
        <v>8</v>
      </c>
      <c r="C225" s="23">
        <f t="shared" si="0"/>
        <v>2024</v>
      </c>
      <c r="D225" s="23"/>
      <c r="E225" s="22"/>
      <c r="F225" s="24"/>
      <c r="G225" s="24"/>
      <c r="H225" s="24">
        <f>H224+'cash book - Argenta'!$F225-'cash book - Argenta'!$G225</f>
        <v>5025</v>
      </c>
    </row>
    <row r="226" spans="1:11" ht="34.5" customHeight="1" x14ac:dyDescent="0.25">
      <c r="A226" s="25">
        <v>45534</v>
      </c>
      <c r="B226" s="22">
        <f>MONTH('cash book - Argenta'!$A226)</f>
        <v>8</v>
      </c>
      <c r="C226" s="23">
        <f t="shared" si="0"/>
        <v>2024</v>
      </c>
      <c r="D226" s="23"/>
      <c r="E226" s="22"/>
      <c r="F226" s="24"/>
      <c r="G226" s="24"/>
      <c r="H226" s="24">
        <f>H225+'cash book - Argenta'!$F226-'cash book - Argenta'!$G226</f>
        <v>5025</v>
      </c>
    </row>
    <row r="227" spans="1:11" ht="34.5" customHeight="1" x14ac:dyDescent="0.25">
      <c r="A227" s="21">
        <v>45534</v>
      </c>
      <c r="B227" s="22">
        <f>MONTH('cash book - Argenta'!$A227)</f>
        <v>8</v>
      </c>
      <c r="C227" s="23">
        <f t="shared" si="0"/>
        <v>2024</v>
      </c>
      <c r="D227" s="23"/>
      <c r="E227" s="22"/>
      <c r="F227" s="24"/>
      <c r="G227" s="24"/>
      <c r="H227" s="24">
        <f>H226+'cash book - Argenta'!$F227-'cash book - Argenta'!$G227</f>
        <v>5025</v>
      </c>
    </row>
    <row r="228" spans="1:11" ht="33" customHeight="1" x14ac:dyDescent="0.25">
      <c r="A228" s="25">
        <v>45535</v>
      </c>
      <c r="B228" s="22">
        <f>MONTH('cash book - Argenta'!$A228)</f>
        <v>8</v>
      </c>
      <c r="C228" s="23">
        <f t="shared" si="0"/>
        <v>2024</v>
      </c>
      <c r="D228" s="23"/>
      <c r="E228" s="22"/>
      <c r="F228" s="24"/>
      <c r="G228" s="24"/>
      <c r="H228" s="24">
        <f>H227+'cash book - Argenta'!$F228-'cash book - Argenta'!$G228</f>
        <v>5025</v>
      </c>
    </row>
    <row r="229" spans="1:11" ht="34.5" customHeight="1" x14ac:dyDescent="0.25">
      <c r="A229" s="21">
        <v>45538</v>
      </c>
      <c r="B229" s="22">
        <f>MONTH('cash book - Argenta'!$A229)</f>
        <v>9</v>
      </c>
      <c r="C229" s="23">
        <f t="shared" si="0"/>
        <v>2024</v>
      </c>
      <c r="D229" s="23"/>
      <c r="E229" s="22"/>
      <c r="F229" s="24"/>
      <c r="G229" s="24"/>
      <c r="H229" s="24">
        <f>H228+'cash book - Argenta'!$F229-'cash book - Argenta'!$G229</f>
        <v>5025</v>
      </c>
    </row>
    <row r="230" spans="1:11" ht="34.5" customHeight="1" x14ac:dyDescent="0.25">
      <c r="A230" s="25">
        <v>45540</v>
      </c>
      <c r="B230" s="22">
        <f>MONTH('cash book - Argenta'!$A230)</f>
        <v>9</v>
      </c>
      <c r="C230" s="23">
        <f t="shared" si="0"/>
        <v>2024</v>
      </c>
      <c r="D230" s="23"/>
      <c r="E230" s="22"/>
      <c r="F230" s="24"/>
      <c r="G230" s="24"/>
      <c r="H230" s="24">
        <f>H229+'cash book - Argenta'!$F230-'cash book - Argenta'!$G230</f>
        <v>5025</v>
      </c>
    </row>
    <row r="231" spans="1:11" ht="34.5" customHeight="1" x14ac:dyDescent="0.25">
      <c r="A231" s="21">
        <v>45540</v>
      </c>
      <c r="B231" s="22">
        <f>MONTH('cash book - Argenta'!$A231)</f>
        <v>9</v>
      </c>
      <c r="C231" s="23">
        <f t="shared" si="0"/>
        <v>2024</v>
      </c>
      <c r="D231" s="23"/>
      <c r="E231" s="22"/>
      <c r="F231" s="24"/>
      <c r="G231" s="24"/>
      <c r="H231" s="24">
        <f>H230+'cash book - Argenta'!$F231-'cash book - Argenta'!$G231</f>
        <v>5025</v>
      </c>
    </row>
    <row r="232" spans="1:11" ht="34.5" customHeight="1" x14ac:dyDescent="0.25">
      <c r="A232" s="25">
        <v>45544</v>
      </c>
      <c r="B232" s="22">
        <f>MONTH('cash book - Argenta'!$A232)</f>
        <v>9</v>
      </c>
      <c r="C232" s="23">
        <f t="shared" si="0"/>
        <v>2024</v>
      </c>
      <c r="D232" s="23"/>
      <c r="E232" s="22"/>
      <c r="F232" s="24"/>
      <c r="G232" s="24"/>
      <c r="H232" s="24">
        <f>H231+'cash book - Argenta'!$F232-'cash book - Argenta'!$G232</f>
        <v>5025</v>
      </c>
      <c r="K232" s="12"/>
    </row>
    <row r="233" spans="1:11" ht="34.5" customHeight="1" x14ac:dyDescent="0.25">
      <c r="A233" s="21">
        <v>45544</v>
      </c>
      <c r="B233" s="22">
        <f>MONTH('cash book - Argenta'!$A233)</f>
        <v>9</v>
      </c>
      <c r="C233" s="23">
        <f t="shared" si="0"/>
        <v>2024</v>
      </c>
      <c r="D233" s="23"/>
      <c r="E233" s="22"/>
      <c r="F233" s="24"/>
      <c r="G233" s="24"/>
      <c r="H233" s="24">
        <f>H232+'cash book - Argenta'!$F233-'cash book - Argenta'!$G233</f>
        <v>5025</v>
      </c>
    </row>
    <row r="234" spans="1:11" ht="34.5" customHeight="1" x14ac:dyDescent="0.25">
      <c r="A234" s="25">
        <v>45548</v>
      </c>
      <c r="B234" s="22">
        <f>MONTH('cash book - Argenta'!$A234)</f>
        <v>9</v>
      </c>
      <c r="C234" s="23">
        <f t="shared" si="0"/>
        <v>2024</v>
      </c>
      <c r="D234" s="23"/>
      <c r="E234" s="22"/>
      <c r="F234" s="24"/>
      <c r="G234" s="24"/>
      <c r="H234" s="24">
        <f>H233+'cash book - Argenta'!$F234-'cash book - Argenta'!$G234</f>
        <v>5025</v>
      </c>
    </row>
    <row r="235" spans="1:11" ht="33" customHeight="1" x14ac:dyDescent="0.25">
      <c r="A235" s="21">
        <v>45548</v>
      </c>
      <c r="B235" s="22">
        <f>MONTH('cash book - Argenta'!$A235)</f>
        <v>9</v>
      </c>
      <c r="C235" s="23">
        <f t="shared" si="0"/>
        <v>2024</v>
      </c>
      <c r="D235" s="23"/>
      <c r="E235" s="22"/>
      <c r="F235" s="24"/>
      <c r="G235" s="24"/>
      <c r="H235" s="24">
        <f>H234+'cash book - Argenta'!$F235-'cash book - Argenta'!$G235</f>
        <v>5025</v>
      </c>
    </row>
    <row r="236" spans="1:11" ht="34.5" customHeight="1" x14ac:dyDescent="0.25">
      <c r="A236" s="25">
        <v>45548</v>
      </c>
      <c r="B236" s="22">
        <f>MONTH('cash book - Argenta'!$A236)</f>
        <v>9</v>
      </c>
      <c r="C236" s="23">
        <f t="shared" si="0"/>
        <v>2024</v>
      </c>
      <c r="D236" s="23"/>
      <c r="E236" s="22"/>
      <c r="F236" s="24"/>
      <c r="G236" s="24"/>
      <c r="H236" s="24">
        <f>H235+'cash book - Argenta'!$F236-'cash book - Argenta'!$G236</f>
        <v>5025</v>
      </c>
    </row>
    <row r="237" spans="1:11" ht="34.5" customHeight="1" x14ac:dyDescent="0.25">
      <c r="A237" s="21">
        <v>45548</v>
      </c>
      <c r="B237" s="22">
        <f>MONTH('cash book - Argenta'!$A237)</f>
        <v>9</v>
      </c>
      <c r="C237" s="23">
        <f t="shared" si="0"/>
        <v>2024</v>
      </c>
      <c r="D237" s="23"/>
      <c r="E237" s="22"/>
      <c r="F237" s="24"/>
      <c r="G237" s="24"/>
      <c r="H237" s="24">
        <f>H236+'cash book - Argenta'!$F237-'cash book - Argenta'!$G237</f>
        <v>5025</v>
      </c>
    </row>
    <row r="238" spans="1:11" ht="34.5" customHeight="1" x14ac:dyDescent="0.25">
      <c r="A238" s="25">
        <v>45549</v>
      </c>
      <c r="B238" s="22">
        <f>MONTH('cash book - Argenta'!$A238)</f>
        <v>9</v>
      </c>
      <c r="C238" s="23">
        <f t="shared" si="0"/>
        <v>2024</v>
      </c>
      <c r="D238" s="23"/>
      <c r="E238" s="22"/>
      <c r="F238" s="24"/>
      <c r="G238" s="24"/>
      <c r="H238" s="24">
        <f>H237+'cash book - Argenta'!$F238-'cash book - Argenta'!$G238</f>
        <v>5025</v>
      </c>
    </row>
    <row r="239" spans="1:11" ht="34.5" customHeight="1" x14ac:dyDescent="0.25">
      <c r="A239" s="21">
        <v>45549</v>
      </c>
      <c r="B239" s="22">
        <f>MONTH('cash book - Argenta'!$A239)</f>
        <v>9</v>
      </c>
      <c r="C239" s="23">
        <f t="shared" si="0"/>
        <v>2024</v>
      </c>
      <c r="D239" s="23"/>
      <c r="E239" s="22"/>
      <c r="F239" s="24"/>
      <c r="G239" s="24"/>
      <c r="H239" s="24">
        <f>H238+'cash book - Argenta'!$F239-'cash book - Argenta'!$G239</f>
        <v>5025</v>
      </c>
    </row>
    <row r="240" spans="1:11" ht="34.5" customHeight="1" x14ac:dyDescent="0.25">
      <c r="A240" s="25">
        <v>45555</v>
      </c>
      <c r="B240" s="22">
        <f>MONTH('cash book - Argenta'!$A240)</f>
        <v>9</v>
      </c>
      <c r="C240" s="23">
        <f t="shared" si="0"/>
        <v>2024</v>
      </c>
      <c r="D240" s="23"/>
      <c r="E240" s="22"/>
      <c r="F240" s="24"/>
      <c r="G240" s="24"/>
      <c r="H240" s="24">
        <f>H239+'cash book - Argenta'!$F240-'cash book - Argenta'!$G240</f>
        <v>5025</v>
      </c>
    </row>
    <row r="241" spans="1:12" ht="33" customHeight="1" x14ac:dyDescent="0.25">
      <c r="A241" s="21">
        <v>45555</v>
      </c>
      <c r="B241" s="22">
        <f>MONTH('cash book - Argenta'!$A241)</f>
        <v>9</v>
      </c>
      <c r="C241" s="23">
        <f t="shared" si="0"/>
        <v>2024</v>
      </c>
      <c r="D241" s="23"/>
      <c r="E241" s="22"/>
      <c r="F241" s="24"/>
      <c r="G241" s="24"/>
      <c r="H241" s="24">
        <f>H240+'cash book - Argenta'!$F241-'cash book - Argenta'!$G241</f>
        <v>5025</v>
      </c>
    </row>
    <row r="242" spans="1:12" ht="34.5" customHeight="1" x14ac:dyDescent="0.25">
      <c r="A242" s="25">
        <v>45556</v>
      </c>
      <c r="B242" s="22">
        <f>MONTH('cash book - Argenta'!$A242)</f>
        <v>9</v>
      </c>
      <c r="C242" s="23">
        <f t="shared" si="0"/>
        <v>2024</v>
      </c>
      <c r="D242" s="23"/>
      <c r="E242" s="22"/>
      <c r="F242" s="24"/>
      <c r="G242" s="24"/>
      <c r="H242" s="24">
        <f>H241+'cash book - Argenta'!$F242-'cash book - Argenta'!$G242</f>
        <v>5025</v>
      </c>
      <c r="L242" s="12"/>
    </row>
    <row r="243" spans="1:12" ht="33" customHeight="1" x14ac:dyDescent="0.25">
      <c r="A243" s="21">
        <v>45558</v>
      </c>
      <c r="B243" s="22">
        <f>MONTH('cash book - Argenta'!$A243)</f>
        <v>9</v>
      </c>
      <c r="C243" s="23">
        <f t="shared" si="0"/>
        <v>2024</v>
      </c>
      <c r="D243" s="23"/>
      <c r="E243" s="22"/>
      <c r="F243" s="24"/>
      <c r="G243" s="24"/>
      <c r="H243" s="24">
        <f>H242+'cash book - Argenta'!$F243-'cash book - Argenta'!$G243</f>
        <v>5025</v>
      </c>
    </row>
    <row r="244" spans="1:12" ht="34.5" customHeight="1" x14ac:dyDescent="0.25">
      <c r="A244" s="25">
        <v>45558</v>
      </c>
      <c r="B244" s="22">
        <f>MONTH('cash book - Argenta'!$A244)</f>
        <v>9</v>
      </c>
      <c r="C244" s="23">
        <f t="shared" si="0"/>
        <v>2024</v>
      </c>
      <c r="D244" s="23"/>
      <c r="E244" s="22"/>
      <c r="F244" s="24"/>
      <c r="G244" s="24"/>
      <c r="H244" s="24">
        <f>H243+'cash book - Argenta'!$F244-'cash book - Argenta'!$G244</f>
        <v>5025</v>
      </c>
    </row>
    <row r="245" spans="1:12" ht="34.5" customHeight="1" x14ac:dyDescent="0.25">
      <c r="A245" s="21">
        <v>45560</v>
      </c>
      <c r="B245" s="22">
        <f>MONTH('cash book - Argenta'!$A245)</f>
        <v>9</v>
      </c>
      <c r="C245" s="23">
        <f t="shared" si="0"/>
        <v>2024</v>
      </c>
      <c r="D245" s="23"/>
      <c r="E245" s="22"/>
      <c r="F245" s="24"/>
      <c r="G245" s="24"/>
      <c r="H245" s="24">
        <f>H244+'cash book - Argenta'!$F245-'cash book - Argenta'!$G245</f>
        <v>5025</v>
      </c>
    </row>
    <row r="246" spans="1:12" ht="34.5" customHeight="1" x14ac:dyDescent="0.25">
      <c r="A246" s="25">
        <v>45561</v>
      </c>
      <c r="B246" s="22">
        <f>MONTH('cash book - Argenta'!$A246)</f>
        <v>9</v>
      </c>
      <c r="C246" s="23">
        <f t="shared" si="0"/>
        <v>2024</v>
      </c>
      <c r="D246" s="23"/>
      <c r="E246" s="22"/>
      <c r="F246" s="24"/>
      <c r="G246" s="24"/>
      <c r="H246" s="24">
        <f>H245+'cash book - Argenta'!$F246-'cash book - Argenta'!$G246</f>
        <v>5025</v>
      </c>
    </row>
    <row r="247" spans="1:12" ht="33" customHeight="1" x14ac:dyDescent="0.25">
      <c r="A247" s="21">
        <v>45563</v>
      </c>
      <c r="B247" s="22">
        <f>MONTH('cash book - Argenta'!$A247)</f>
        <v>9</v>
      </c>
      <c r="C247" s="23">
        <f t="shared" si="0"/>
        <v>2024</v>
      </c>
      <c r="D247" s="23"/>
      <c r="E247" s="22"/>
      <c r="F247" s="24"/>
      <c r="G247" s="24"/>
      <c r="H247" s="24">
        <f>H246+'cash book - Argenta'!$F247-'cash book - Argenta'!$G247</f>
        <v>5025</v>
      </c>
    </row>
    <row r="248" spans="1:12" ht="34.5" customHeight="1" x14ac:dyDescent="0.25">
      <c r="A248" s="25">
        <v>45563</v>
      </c>
      <c r="B248" s="22">
        <f>MONTH('cash book - Argenta'!$A248)</f>
        <v>9</v>
      </c>
      <c r="C248" s="23">
        <f t="shared" si="0"/>
        <v>2024</v>
      </c>
      <c r="D248" s="23"/>
      <c r="E248" s="22"/>
      <c r="F248" s="24"/>
      <c r="G248" s="24"/>
      <c r="H248" s="24">
        <f>H247+'cash book - Argenta'!$F248-'cash book - Argenta'!$G248</f>
        <v>5025</v>
      </c>
    </row>
    <row r="249" spans="1:12" ht="34.5" customHeight="1" x14ac:dyDescent="0.25">
      <c r="A249" s="21">
        <v>45564</v>
      </c>
      <c r="B249" s="22">
        <f>MONTH('cash book - Argenta'!$A249)</f>
        <v>9</v>
      </c>
      <c r="C249" s="23">
        <f t="shared" si="0"/>
        <v>2024</v>
      </c>
      <c r="D249" s="23"/>
      <c r="E249" s="22"/>
      <c r="F249" s="24"/>
      <c r="G249" s="24"/>
      <c r="H249" s="24">
        <f>H248+'cash book - Argenta'!$F249-'cash book - Argenta'!$G249</f>
        <v>5025</v>
      </c>
    </row>
    <row r="250" spans="1:12" ht="34.5" customHeight="1" x14ac:dyDescent="0.25">
      <c r="A250" s="25">
        <v>45564</v>
      </c>
      <c r="B250" s="22">
        <f>MONTH('cash book - Argenta'!$A250)</f>
        <v>9</v>
      </c>
      <c r="C250" s="23">
        <f t="shared" si="0"/>
        <v>2024</v>
      </c>
      <c r="D250" s="23"/>
      <c r="E250" s="22"/>
      <c r="F250" s="24"/>
      <c r="G250" s="24"/>
      <c r="H250" s="24">
        <f>H249+'cash book - Argenta'!$F250-'cash book - Argenta'!$G250</f>
        <v>5025</v>
      </c>
    </row>
    <row r="251" spans="1:12" ht="34.5" customHeight="1" x14ac:dyDescent="0.25">
      <c r="A251" s="21">
        <v>45564</v>
      </c>
      <c r="B251" s="22">
        <f>MONTH('cash book - Argenta'!$A251)</f>
        <v>9</v>
      </c>
      <c r="C251" s="23">
        <f t="shared" si="0"/>
        <v>2024</v>
      </c>
      <c r="D251" s="23"/>
      <c r="E251" s="22"/>
      <c r="F251" s="24"/>
      <c r="G251" s="24"/>
      <c r="H251" s="24">
        <f>H250+'cash book - Argenta'!$F251-'cash book - Argenta'!$G251</f>
        <v>5025</v>
      </c>
    </row>
    <row r="252" spans="1:12" ht="34.5" customHeight="1" x14ac:dyDescent="0.25">
      <c r="A252" s="25">
        <v>45564</v>
      </c>
      <c r="B252" s="22">
        <f>MONTH('cash book - Argenta'!$A252)</f>
        <v>9</v>
      </c>
      <c r="C252" s="23">
        <f t="shared" si="0"/>
        <v>2024</v>
      </c>
      <c r="D252" s="23"/>
      <c r="E252" s="22"/>
      <c r="F252" s="24"/>
      <c r="G252" s="24"/>
      <c r="H252" s="24">
        <f>H251+'cash book - Argenta'!$F252-'cash book - Argenta'!$G252</f>
        <v>5025</v>
      </c>
    </row>
    <row r="253" spans="1:12" ht="34.5" customHeight="1" x14ac:dyDescent="0.25">
      <c r="A253" s="21">
        <v>45565</v>
      </c>
      <c r="B253" s="22">
        <f>MONTH('cash book - Argenta'!$A253)</f>
        <v>9</v>
      </c>
      <c r="C253" s="23">
        <f t="shared" si="0"/>
        <v>2024</v>
      </c>
      <c r="D253" s="23"/>
      <c r="E253" s="22"/>
      <c r="F253" s="24"/>
      <c r="G253" s="24"/>
      <c r="H253" s="24">
        <f>H252+'cash book - Argenta'!$F253-'cash book - Argenta'!$G253</f>
        <v>5025</v>
      </c>
    </row>
    <row r="254" spans="1:12" ht="33" customHeight="1" x14ac:dyDescent="0.25">
      <c r="A254" s="25">
        <v>45565</v>
      </c>
      <c r="B254" s="22">
        <f>MONTH('cash book - Argenta'!$A254)</f>
        <v>9</v>
      </c>
      <c r="C254" s="23">
        <f t="shared" si="0"/>
        <v>2024</v>
      </c>
      <c r="D254" s="23"/>
      <c r="E254" s="22"/>
      <c r="F254" s="24"/>
      <c r="G254" s="24"/>
      <c r="H254" s="24">
        <f>H253+'cash book - Argenta'!$F254-'cash book - Argenta'!$G254</f>
        <v>5025</v>
      </c>
    </row>
    <row r="255" spans="1:12" ht="34.5" customHeight="1" x14ac:dyDescent="0.25">
      <c r="A255" s="21">
        <v>45565</v>
      </c>
      <c r="B255" s="22">
        <f>MONTH('cash book - Argenta'!$A255)</f>
        <v>9</v>
      </c>
      <c r="C255" s="23">
        <f t="shared" si="0"/>
        <v>2024</v>
      </c>
      <c r="D255" s="23"/>
      <c r="E255" s="22"/>
      <c r="F255" s="24"/>
      <c r="G255" s="24"/>
      <c r="H255" s="24">
        <f>H254+'cash book - Argenta'!$F255-'cash book - Argenta'!$G255</f>
        <v>5025</v>
      </c>
    </row>
    <row r="256" spans="1:12" ht="34.5" customHeight="1" x14ac:dyDescent="0.25">
      <c r="A256" s="25">
        <v>45565</v>
      </c>
      <c r="B256" s="22">
        <f>MONTH('cash book - Argenta'!$A256)</f>
        <v>9</v>
      </c>
      <c r="C256" s="23">
        <f t="shared" si="0"/>
        <v>2024</v>
      </c>
      <c r="D256" s="23"/>
      <c r="E256" s="22"/>
      <c r="F256" s="24"/>
      <c r="G256" s="24"/>
      <c r="H256" s="24">
        <f>H255+'cash book - Argenta'!$F256-'cash book - Argenta'!$G256</f>
        <v>5025</v>
      </c>
    </row>
    <row r="257" spans="1:11" ht="34.5" customHeight="1" x14ac:dyDescent="0.25">
      <c r="A257" s="21">
        <v>45569</v>
      </c>
      <c r="B257" s="22">
        <f>MONTH('cash book - Argenta'!$A257)</f>
        <v>10</v>
      </c>
      <c r="C257" s="23">
        <f t="shared" ref="C257:C511" si="2">YEAR(A257)</f>
        <v>2024</v>
      </c>
      <c r="D257" s="23"/>
      <c r="E257" s="22"/>
      <c r="F257" s="24"/>
      <c r="G257" s="24"/>
      <c r="H257" s="24">
        <f>H256+'cash book - Argenta'!$F257-'cash book - Argenta'!$G257</f>
        <v>5025</v>
      </c>
    </row>
    <row r="258" spans="1:11" ht="34.5" customHeight="1" x14ac:dyDescent="0.25">
      <c r="A258" s="25">
        <v>45569</v>
      </c>
      <c r="B258" s="22">
        <f>MONTH('cash book - Argenta'!$A258)</f>
        <v>10</v>
      </c>
      <c r="C258" s="23">
        <f t="shared" si="2"/>
        <v>2024</v>
      </c>
      <c r="D258" s="23"/>
      <c r="E258" s="22"/>
      <c r="F258" s="24"/>
      <c r="G258" s="24"/>
      <c r="H258" s="24">
        <f>H257+'cash book - Argenta'!$F258-'cash book - Argenta'!$G258</f>
        <v>5025</v>
      </c>
    </row>
    <row r="259" spans="1:11" ht="34.5" customHeight="1" x14ac:dyDescent="0.25">
      <c r="A259" s="21">
        <v>45572</v>
      </c>
      <c r="B259" s="22">
        <f>MONTH('cash book - Argenta'!$A259)</f>
        <v>10</v>
      </c>
      <c r="C259" s="23">
        <f t="shared" si="2"/>
        <v>2024</v>
      </c>
      <c r="D259" s="23"/>
      <c r="E259" s="22"/>
      <c r="F259" s="24"/>
      <c r="G259" s="24"/>
      <c r="H259" s="24">
        <f>H258+'cash book - Argenta'!$F259-'cash book - Argenta'!$G259</f>
        <v>5025</v>
      </c>
      <c r="K259" s="12"/>
    </row>
    <row r="260" spans="1:11" ht="34.5" customHeight="1" x14ac:dyDescent="0.25">
      <c r="A260" s="25">
        <v>45572</v>
      </c>
      <c r="B260" s="22">
        <f>MONTH('cash book - Argenta'!$A260)</f>
        <v>10</v>
      </c>
      <c r="C260" s="23">
        <f t="shared" si="2"/>
        <v>2024</v>
      </c>
      <c r="D260" s="23"/>
      <c r="E260" s="22"/>
      <c r="F260" s="24"/>
      <c r="G260" s="24"/>
      <c r="H260" s="24">
        <f>H259+'cash book - Argenta'!$F260-'cash book - Argenta'!$G260</f>
        <v>5025</v>
      </c>
    </row>
    <row r="261" spans="1:11" ht="33" customHeight="1" x14ac:dyDescent="0.25">
      <c r="A261" s="21">
        <v>45575</v>
      </c>
      <c r="B261" s="22">
        <f>MONTH('cash book - Argenta'!$A261)</f>
        <v>10</v>
      </c>
      <c r="C261" s="23">
        <f t="shared" si="2"/>
        <v>2024</v>
      </c>
      <c r="D261" s="23"/>
      <c r="E261" s="22"/>
      <c r="F261" s="24"/>
      <c r="G261" s="24"/>
      <c r="H261" s="24">
        <f>H260+'cash book - Argenta'!$F261-'cash book - Argenta'!$G261</f>
        <v>5025</v>
      </c>
    </row>
    <row r="262" spans="1:11" ht="34.5" customHeight="1" x14ac:dyDescent="0.25">
      <c r="A262" s="25">
        <v>45576</v>
      </c>
      <c r="B262" s="22">
        <f>MONTH('cash book - Argenta'!$A262)</f>
        <v>10</v>
      </c>
      <c r="C262" s="23">
        <f t="shared" si="2"/>
        <v>2024</v>
      </c>
      <c r="D262" s="23"/>
      <c r="E262" s="22"/>
      <c r="F262" s="24"/>
      <c r="G262" s="24"/>
      <c r="H262" s="24">
        <f>H261+'cash book - Argenta'!$F262-'cash book - Argenta'!$G262</f>
        <v>5025</v>
      </c>
    </row>
    <row r="263" spans="1:11" ht="34.5" customHeight="1" x14ac:dyDescent="0.25">
      <c r="A263" s="21">
        <v>45576</v>
      </c>
      <c r="B263" s="22">
        <f>MONTH('cash book - Argenta'!$A263)</f>
        <v>10</v>
      </c>
      <c r="C263" s="23">
        <f t="shared" si="2"/>
        <v>2024</v>
      </c>
      <c r="D263" s="23"/>
      <c r="E263" s="22"/>
      <c r="F263" s="24"/>
      <c r="G263" s="24"/>
      <c r="H263" s="24">
        <f>H262+'cash book - Argenta'!$F263-'cash book - Argenta'!$G263</f>
        <v>5025</v>
      </c>
    </row>
    <row r="264" spans="1:11" ht="34.5" customHeight="1" x14ac:dyDescent="0.25">
      <c r="A264" s="25">
        <v>45576</v>
      </c>
      <c r="B264" s="22">
        <f>MONTH('cash book - Argenta'!$A264)</f>
        <v>10</v>
      </c>
      <c r="C264" s="23">
        <f t="shared" si="2"/>
        <v>2024</v>
      </c>
      <c r="D264" s="23"/>
      <c r="E264" s="22"/>
      <c r="F264" s="24"/>
      <c r="G264" s="24"/>
      <c r="H264" s="24">
        <f>H263+'cash book - Argenta'!$F264-'cash book - Argenta'!$G264</f>
        <v>5025</v>
      </c>
    </row>
    <row r="265" spans="1:11" ht="34.5" customHeight="1" x14ac:dyDescent="0.25">
      <c r="A265" s="21">
        <v>45577</v>
      </c>
      <c r="B265" s="22">
        <f>MONTH('cash book - Argenta'!$A265)</f>
        <v>10</v>
      </c>
      <c r="C265" s="23">
        <f t="shared" si="2"/>
        <v>2024</v>
      </c>
      <c r="D265" s="23"/>
      <c r="E265" s="22"/>
      <c r="F265" s="24"/>
      <c r="G265" s="24"/>
      <c r="H265" s="24">
        <f>H264+'cash book - Argenta'!$F265-'cash book - Argenta'!$G265</f>
        <v>5025</v>
      </c>
    </row>
    <row r="266" spans="1:11" ht="34.5" customHeight="1" x14ac:dyDescent="0.25">
      <c r="A266" s="25">
        <v>45579</v>
      </c>
      <c r="B266" s="22">
        <f>MONTH('cash book - Argenta'!$A266)</f>
        <v>10</v>
      </c>
      <c r="C266" s="23">
        <f t="shared" si="2"/>
        <v>2024</v>
      </c>
      <c r="D266" s="23"/>
      <c r="E266" s="22"/>
      <c r="F266" s="24"/>
      <c r="G266" s="24"/>
      <c r="H266" s="24">
        <f>H265+'cash book - Argenta'!$F266-'cash book - Argenta'!$G266</f>
        <v>5025</v>
      </c>
    </row>
    <row r="267" spans="1:11" ht="33" customHeight="1" x14ac:dyDescent="0.25">
      <c r="A267" s="21">
        <v>45579</v>
      </c>
      <c r="B267" s="22">
        <f>MONTH('cash book - Argenta'!$A267)</f>
        <v>10</v>
      </c>
      <c r="C267" s="23">
        <f t="shared" si="2"/>
        <v>2024</v>
      </c>
      <c r="D267" s="23"/>
      <c r="E267" s="22"/>
      <c r="F267" s="24"/>
      <c r="G267" s="24"/>
      <c r="H267" s="24">
        <f>H266+'cash book - Argenta'!$F267-'cash book - Argenta'!$G267</f>
        <v>5025</v>
      </c>
    </row>
    <row r="268" spans="1:11" ht="34.5" customHeight="1" x14ac:dyDescent="0.25">
      <c r="A268" s="25">
        <v>45580</v>
      </c>
      <c r="B268" s="22">
        <f>MONTH('cash book - Argenta'!$A268)</f>
        <v>10</v>
      </c>
      <c r="C268" s="23">
        <f t="shared" si="2"/>
        <v>2024</v>
      </c>
      <c r="D268" s="23"/>
      <c r="E268" s="22"/>
      <c r="F268" s="24"/>
      <c r="G268" s="24"/>
      <c r="H268" s="24">
        <f>H267+'cash book - Argenta'!$F268-'cash book - Argenta'!$G268</f>
        <v>5025</v>
      </c>
    </row>
    <row r="269" spans="1:11" ht="34.5" customHeight="1" x14ac:dyDescent="0.25">
      <c r="A269" s="21">
        <v>45586</v>
      </c>
      <c r="B269" s="22">
        <f>MONTH('cash book - Argenta'!$A269)</f>
        <v>10</v>
      </c>
      <c r="C269" s="23">
        <f t="shared" si="2"/>
        <v>2024</v>
      </c>
      <c r="D269" s="23"/>
      <c r="E269" s="22"/>
      <c r="F269" s="24"/>
      <c r="G269" s="24"/>
      <c r="H269" s="24">
        <f>H268+'cash book - Argenta'!$F269-'cash book - Argenta'!$G269</f>
        <v>5025</v>
      </c>
    </row>
    <row r="270" spans="1:11" ht="34.5" customHeight="1" x14ac:dyDescent="0.25">
      <c r="A270" s="25">
        <v>45586</v>
      </c>
      <c r="B270" s="22">
        <f>MONTH('cash book - Argenta'!$A270)</f>
        <v>10</v>
      </c>
      <c r="C270" s="23">
        <f t="shared" si="2"/>
        <v>2024</v>
      </c>
      <c r="D270" s="23"/>
      <c r="E270" s="22"/>
      <c r="F270" s="24"/>
      <c r="G270" s="24"/>
      <c r="H270" s="24">
        <f>H269+'cash book - Argenta'!$F270-'cash book - Argenta'!$G270</f>
        <v>5025</v>
      </c>
    </row>
    <row r="271" spans="1:11" ht="33" customHeight="1" x14ac:dyDescent="0.25">
      <c r="A271" s="21">
        <v>45586</v>
      </c>
      <c r="B271" s="22">
        <f>MONTH('cash book - Argenta'!$A271)</f>
        <v>10</v>
      </c>
      <c r="C271" s="23">
        <f t="shared" si="2"/>
        <v>2024</v>
      </c>
      <c r="D271" s="23"/>
      <c r="E271" s="22"/>
      <c r="F271" s="24"/>
      <c r="G271" s="24"/>
      <c r="H271" s="24">
        <f>H270+'cash book - Argenta'!$F271-'cash book - Argenta'!$G271</f>
        <v>5025</v>
      </c>
    </row>
    <row r="272" spans="1:11" ht="34.5" customHeight="1" x14ac:dyDescent="0.25">
      <c r="A272" s="25">
        <v>45586</v>
      </c>
      <c r="B272" s="22">
        <f>MONTH('cash book - Argenta'!$A272)</f>
        <v>10</v>
      </c>
      <c r="C272" s="23">
        <f t="shared" si="2"/>
        <v>2024</v>
      </c>
      <c r="D272" s="23"/>
      <c r="E272" s="22"/>
      <c r="F272" s="24"/>
      <c r="G272" s="24"/>
      <c r="H272" s="24">
        <f>H271+'cash book - Argenta'!$F272-'cash book - Argenta'!$G272</f>
        <v>5025</v>
      </c>
    </row>
    <row r="273" spans="1:8" ht="34.5" customHeight="1" x14ac:dyDescent="0.25">
      <c r="A273" s="21">
        <v>45586</v>
      </c>
      <c r="B273" s="22">
        <f>MONTH('cash book - Argenta'!$A273)</f>
        <v>10</v>
      </c>
      <c r="C273" s="23">
        <f t="shared" si="2"/>
        <v>2024</v>
      </c>
      <c r="D273" s="23"/>
      <c r="E273" s="22"/>
      <c r="F273" s="24"/>
      <c r="G273" s="24"/>
      <c r="H273" s="24">
        <f>H272+'cash book - Argenta'!$F273-'cash book - Argenta'!$G273</f>
        <v>5025</v>
      </c>
    </row>
    <row r="274" spans="1:8" ht="34.5" customHeight="1" x14ac:dyDescent="0.25">
      <c r="A274" s="25">
        <v>45586</v>
      </c>
      <c r="B274" s="22">
        <f>MONTH('cash book - Argenta'!$A274)</f>
        <v>10</v>
      </c>
      <c r="C274" s="23">
        <f t="shared" si="2"/>
        <v>2024</v>
      </c>
      <c r="D274" s="23"/>
      <c r="E274" s="22"/>
      <c r="F274" s="24"/>
      <c r="G274" s="24"/>
      <c r="H274" s="24">
        <f>H273+'cash book - Argenta'!$F274-'cash book - Argenta'!$G274</f>
        <v>5025</v>
      </c>
    </row>
    <row r="275" spans="1:8" ht="33" customHeight="1" x14ac:dyDescent="0.25">
      <c r="A275" s="21">
        <v>45587</v>
      </c>
      <c r="B275" s="22">
        <f>MONTH('cash book - Argenta'!$A275)</f>
        <v>10</v>
      </c>
      <c r="C275" s="23">
        <f t="shared" si="2"/>
        <v>2024</v>
      </c>
      <c r="D275" s="23"/>
      <c r="E275" s="22"/>
      <c r="F275" s="24"/>
      <c r="G275" s="24"/>
      <c r="H275" s="24">
        <f>H274+'cash book - Argenta'!$F275-'cash book - Argenta'!$G275</f>
        <v>5025</v>
      </c>
    </row>
    <row r="276" spans="1:8" ht="34.5" customHeight="1" x14ac:dyDescent="0.25">
      <c r="A276" s="25">
        <v>45587</v>
      </c>
      <c r="B276" s="22">
        <f>MONTH('cash book - Argenta'!$A276)</f>
        <v>10</v>
      </c>
      <c r="C276" s="23">
        <f t="shared" si="2"/>
        <v>2024</v>
      </c>
      <c r="D276" s="23"/>
      <c r="E276" s="22"/>
      <c r="F276" s="24"/>
      <c r="G276" s="24"/>
      <c r="H276" s="24">
        <f>H275+'cash book - Argenta'!$F276-'cash book - Argenta'!$G276</f>
        <v>5025</v>
      </c>
    </row>
    <row r="277" spans="1:8" ht="34.5" customHeight="1" x14ac:dyDescent="0.25">
      <c r="A277" s="21">
        <v>45587</v>
      </c>
      <c r="B277" s="22">
        <f>MONTH('cash book - Argenta'!$A277)</f>
        <v>10</v>
      </c>
      <c r="C277" s="23">
        <f t="shared" si="2"/>
        <v>2024</v>
      </c>
      <c r="D277" s="23"/>
      <c r="E277" s="22"/>
      <c r="F277" s="24"/>
      <c r="G277" s="24"/>
      <c r="H277" s="24">
        <f>H276+'cash book - Argenta'!$F277-'cash book - Argenta'!$G277</f>
        <v>5025</v>
      </c>
    </row>
    <row r="278" spans="1:8" ht="34.5" customHeight="1" x14ac:dyDescent="0.25">
      <c r="A278" s="25">
        <v>45587</v>
      </c>
      <c r="B278" s="22">
        <f>MONTH('cash book - Argenta'!$A278)</f>
        <v>10</v>
      </c>
      <c r="C278" s="23">
        <f t="shared" si="2"/>
        <v>2024</v>
      </c>
      <c r="D278" s="23"/>
      <c r="E278" s="22"/>
      <c r="F278" s="24"/>
      <c r="G278" s="24"/>
      <c r="H278" s="24">
        <f>H277+'cash book - Argenta'!$F278-'cash book - Argenta'!$G278</f>
        <v>5025</v>
      </c>
    </row>
    <row r="279" spans="1:8" ht="34.5" customHeight="1" x14ac:dyDescent="0.25">
      <c r="A279" s="21">
        <v>45587</v>
      </c>
      <c r="B279" s="22">
        <f>MONTH('cash book - Argenta'!$A279)</f>
        <v>10</v>
      </c>
      <c r="C279" s="23">
        <f t="shared" si="2"/>
        <v>2024</v>
      </c>
      <c r="D279" s="23"/>
      <c r="E279" s="22"/>
      <c r="F279" s="24"/>
      <c r="G279" s="24"/>
      <c r="H279" s="24">
        <f>H278+'cash book - Argenta'!$F279-'cash book - Argenta'!$G279</f>
        <v>5025</v>
      </c>
    </row>
    <row r="280" spans="1:8" ht="34.5" customHeight="1" x14ac:dyDescent="0.25">
      <c r="A280" s="25">
        <v>45588</v>
      </c>
      <c r="B280" s="22">
        <f>MONTH('cash book - Argenta'!$A280)</f>
        <v>10</v>
      </c>
      <c r="C280" s="23">
        <f t="shared" si="2"/>
        <v>2024</v>
      </c>
      <c r="D280" s="23"/>
      <c r="E280" s="22"/>
      <c r="F280" s="24"/>
      <c r="G280" s="24"/>
      <c r="H280" s="24">
        <f>H279+'cash book - Argenta'!$F280-'cash book - Argenta'!$G280</f>
        <v>5025</v>
      </c>
    </row>
    <row r="281" spans="1:8" ht="33" customHeight="1" x14ac:dyDescent="0.25">
      <c r="A281" s="21">
        <v>45588</v>
      </c>
      <c r="B281" s="22">
        <f>MONTH('cash book - Argenta'!$A281)</f>
        <v>10</v>
      </c>
      <c r="C281" s="23">
        <f t="shared" si="2"/>
        <v>2024</v>
      </c>
      <c r="D281" s="23"/>
      <c r="E281" s="22"/>
      <c r="F281" s="24"/>
      <c r="G281" s="24"/>
      <c r="H281" s="24">
        <f>H280+'cash book - Argenta'!$F281-'cash book - Argenta'!$G281</f>
        <v>5025</v>
      </c>
    </row>
    <row r="282" spans="1:8" ht="34.5" customHeight="1" x14ac:dyDescent="0.25">
      <c r="A282" s="25">
        <v>45589</v>
      </c>
      <c r="B282" s="22">
        <f>MONTH('cash book - Argenta'!$A282)</f>
        <v>10</v>
      </c>
      <c r="C282" s="23">
        <f t="shared" si="2"/>
        <v>2024</v>
      </c>
      <c r="D282" s="23"/>
      <c r="E282" s="22"/>
      <c r="F282" s="24"/>
      <c r="G282" s="24"/>
      <c r="H282" s="24">
        <f>H281+'cash book - Argenta'!$F282-'cash book - Argenta'!$G282</f>
        <v>5025</v>
      </c>
    </row>
    <row r="283" spans="1:8" ht="34.5" customHeight="1" x14ac:dyDescent="0.25">
      <c r="A283" s="21">
        <v>45589</v>
      </c>
      <c r="B283" s="22">
        <f>MONTH('cash book - Argenta'!$A283)</f>
        <v>10</v>
      </c>
      <c r="C283" s="23">
        <f t="shared" si="2"/>
        <v>2024</v>
      </c>
      <c r="D283" s="23"/>
      <c r="E283" s="22"/>
      <c r="F283" s="24"/>
      <c r="G283" s="24"/>
      <c r="H283" s="24">
        <f>H282+'cash book - Argenta'!$F283-'cash book - Argenta'!$G283</f>
        <v>5025</v>
      </c>
    </row>
    <row r="284" spans="1:8" ht="34.5" customHeight="1" x14ac:dyDescent="0.25">
      <c r="A284" s="25">
        <v>45589</v>
      </c>
      <c r="B284" s="22">
        <f>MONTH('cash book - Argenta'!$A284)</f>
        <v>10</v>
      </c>
      <c r="C284" s="23">
        <f t="shared" si="2"/>
        <v>2024</v>
      </c>
      <c r="D284" s="23"/>
      <c r="E284" s="22"/>
      <c r="F284" s="24"/>
      <c r="G284" s="24"/>
      <c r="H284" s="24">
        <f>H283+'cash book - Argenta'!$F284-'cash book - Argenta'!$G284</f>
        <v>5025</v>
      </c>
    </row>
    <row r="285" spans="1:8" ht="34.5" customHeight="1" x14ac:dyDescent="0.25">
      <c r="A285" s="21">
        <v>45589</v>
      </c>
      <c r="B285" s="22">
        <f>MONTH('cash book - Argenta'!$A285)</f>
        <v>10</v>
      </c>
      <c r="C285" s="23">
        <f t="shared" si="2"/>
        <v>2024</v>
      </c>
      <c r="D285" s="23"/>
      <c r="E285" s="22"/>
      <c r="F285" s="24"/>
      <c r="G285" s="24"/>
      <c r="H285" s="24">
        <f>H284+'cash book - Argenta'!$F285-'cash book - Argenta'!$G285</f>
        <v>5025</v>
      </c>
    </row>
    <row r="286" spans="1:8" ht="34.5" customHeight="1" x14ac:dyDescent="0.25">
      <c r="A286" s="25">
        <v>45590</v>
      </c>
      <c r="B286" s="22">
        <f>MONTH('cash book - Argenta'!$A286)</f>
        <v>10</v>
      </c>
      <c r="C286" s="23">
        <f t="shared" si="2"/>
        <v>2024</v>
      </c>
      <c r="D286" s="23"/>
      <c r="E286" s="22"/>
      <c r="F286" s="24"/>
      <c r="G286" s="24"/>
      <c r="H286" s="24">
        <f>H285+'cash book - Argenta'!$F286-'cash book - Argenta'!$G286</f>
        <v>5025</v>
      </c>
    </row>
    <row r="287" spans="1:8" ht="34.5" customHeight="1" x14ac:dyDescent="0.25">
      <c r="A287" s="21">
        <v>45590</v>
      </c>
      <c r="B287" s="22">
        <f>MONTH('cash book - Argenta'!$A287)</f>
        <v>10</v>
      </c>
      <c r="C287" s="23">
        <f t="shared" si="2"/>
        <v>2024</v>
      </c>
      <c r="D287" s="23"/>
      <c r="E287" s="22"/>
      <c r="F287" s="24"/>
      <c r="G287" s="24"/>
      <c r="H287" s="24">
        <f>H286+'cash book - Argenta'!$F287-'cash book - Argenta'!$G287</f>
        <v>5025</v>
      </c>
    </row>
    <row r="288" spans="1:8" ht="33" customHeight="1" x14ac:dyDescent="0.25">
      <c r="A288" s="25">
        <v>45590</v>
      </c>
      <c r="B288" s="22">
        <f>MONTH('cash book - Argenta'!$A288)</f>
        <v>10</v>
      </c>
      <c r="C288" s="23">
        <f t="shared" si="2"/>
        <v>2024</v>
      </c>
      <c r="D288" s="23"/>
      <c r="E288" s="22"/>
      <c r="F288" s="24"/>
      <c r="G288" s="24"/>
      <c r="H288" s="24">
        <f>H287+'cash book - Argenta'!$F288-'cash book - Argenta'!$G288</f>
        <v>5025</v>
      </c>
    </row>
    <row r="289" spans="1:8" ht="34.5" customHeight="1" x14ac:dyDescent="0.25">
      <c r="A289" s="21">
        <v>45590</v>
      </c>
      <c r="B289" s="22">
        <f>MONTH('cash book - Argenta'!$A289)</f>
        <v>10</v>
      </c>
      <c r="C289" s="23">
        <f t="shared" si="2"/>
        <v>2024</v>
      </c>
      <c r="D289" s="23"/>
      <c r="E289" s="22"/>
      <c r="F289" s="24"/>
      <c r="G289" s="24"/>
      <c r="H289" s="24">
        <f>H288+'cash book - Argenta'!$F289-'cash book - Argenta'!$G289</f>
        <v>5025</v>
      </c>
    </row>
    <row r="290" spans="1:8" ht="34.5" customHeight="1" x14ac:dyDescent="0.25">
      <c r="A290" s="25">
        <v>45590</v>
      </c>
      <c r="B290" s="22">
        <f>MONTH('cash book - Argenta'!$A290)</f>
        <v>10</v>
      </c>
      <c r="C290" s="23">
        <f t="shared" si="2"/>
        <v>2024</v>
      </c>
      <c r="D290" s="23"/>
      <c r="E290" s="22"/>
      <c r="F290" s="24"/>
      <c r="G290" s="24"/>
      <c r="H290" s="24">
        <f>H289+'cash book - Argenta'!$F290-'cash book - Argenta'!$G290</f>
        <v>5025</v>
      </c>
    </row>
    <row r="291" spans="1:8" ht="34.5" customHeight="1" x14ac:dyDescent="0.25">
      <c r="A291" s="21">
        <v>45591</v>
      </c>
      <c r="B291" s="22">
        <f>MONTH('cash book - Argenta'!$A291)</f>
        <v>10</v>
      </c>
      <c r="C291" s="23">
        <f t="shared" si="2"/>
        <v>2024</v>
      </c>
      <c r="D291" s="23"/>
      <c r="E291" s="22"/>
      <c r="F291" s="24"/>
      <c r="G291" s="24"/>
      <c r="H291" s="24">
        <f>H290+'cash book - Argenta'!$F291-'cash book - Argenta'!$G291</f>
        <v>5025</v>
      </c>
    </row>
    <row r="292" spans="1:8" ht="34.5" customHeight="1" x14ac:dyDescent="0.25">
      <c r="A292" s="25">
        <v>45592</v>
      </c>
      <c r="B292" s="22">
        <f>MONTH('cash book - Argenta'!$A292)</f>
        <v>10</v>
      </c>
      <c r="C292" s="23">
        <f t="shared" si="2"/>
        <v>2024</v>
      </c>
      <c r="D292" s="23"/>
      <c r="E292" s="22"/>
      <c r="F292" s="24"/>
      <c r="G292" s="24"/>
      <c r="H292" s="24">
        <f>H291+'cash book - Argenta'!$F292-'cash book - Argenta'!$G292</f>
        <v>5025</v>
      </c>
    </row>
    <row r="293" spans="1:8" ht="34.5" customHeight="1" x14ac:dyDescent="0.25">
      <c r="A293" s="21">
        <v>45593</v>
      </c>
      <c r="B293" s="22">
        <f>MONTH('cash book - Argenta'!$A293)</f>
        <v>10</v>
      </c>
      <c r="C293" s="23">
        <f t="shared" si="2"/>
        <v>2024</v>
      </c>
      <c r="D293" s="23"/>
      <c r="E293" s="22"/>
      <c r="F293" s="24"/>
      <c r="G293" s="24"/>
      <c r="H293" s="24">
        <f>H292+'cash book - Argenta'!$F293-'cash book - Argenta'!$G293</f>
        <v>5025</v>
      </c>
    </row>
    <row r="294" spans="1:8" ht="33" customHeight="1" x14ac:dyDescent="0.25">
      <c r="A294" s="25">
        <v>45593</v>
      </c>
      <c r="B294" s="22">
        <f>MONTH('cash book - Argenta'!$A294)</f>
        <v>10</v>
      </c>
      <c r="C294" s="23">
        <f t="shared" si="2"/>
        <v>2024</v>
      </c>
      <c r="D294" s="23"/>
      <c r="E294" s="22"/>
      <c r="F294" s="24"/>
      <c r="G294" s="24"/>
      <c r="H294" s="24">
        <f>H293+'cash book - Argenta'!$F294-'cash book - Argenta'!$G294</f>
        <v>5025</v>
      </c>
    </row>
    <row r="295" spans="1:8" ht="34.5" customHeight="1" x14ac:dyDescent="0.25">
      <c r="A295" s="21">
        <v>45593</v>
      </c>
      <c r="B295" s="22">
        <f>MONTH('cash book - Argenta'!$A295)</f>
        <v>10</v>
      </c>
      <c r="C295" s="23">
        <f t="shared" si="2"/>
        <v>2024</v>
      </c>
      <c r="D295" s="23"/>
      <c r="E295" s="22"/>
      <c r="F295" s="24"/>
      <c r="G295" s="24"/>
      <c r="H295" s="24">
        <f>H294+'cash book - Argenta'!$F295-'cash book - Argenta'!$G295</f>
        <v>5025</v>
      </c>
    </row>
    <row r="296" spans="1:8" ht="33" customHeight="1" x14ac:dyDescent="0.25">
      <c r="A296" s="25">
        <v>45594</v>
      </c>
      <c r="B296" s="22">
        <f>MONTH('cash book - Argenta'!$A296)</f>
        <v>10</v>
      </c>
      <c r="C296" s="23">
        <f t="shared" si="2"/>
        <v>2024</v>
      </c>
      <c r="D296" s="23"/>
      <c r="E296" s="22"/>
      <c r="F296" s="24"/>
      <c r="G296" s="24"/>
      <c r="H296" s="24">
        <f>H295+'cash book - Argenta'!$F296-'cash book - Argenta'!$G296</f>
        <v>5025</v>
      </c>
    </row>
    <row r="297" spans="1:8" ht="34.5" customHeight="1" x14ac:dyDescent="0.25">
      <c r="A297" s="21">
        <v>45596</v>
      </c>
      <c r="B297" s="22">
        <f>MONTH('cash book - Argenta'!$A297)</f>
        <v>10</v>
      </c>
      <c r="C297" s="23">
        <f t="shared" si="2"/>
        <v>2024</v>
      </c>
      <c r="D297" s="23"/>
      <c r="E297" s="22"/>
      <c r="F297" s="24"/>
      <c r="G297" s="24"/>
      <c r="H297" s="24">
        <f>H296+'cash book - Argenta'!$F297-'cash book - Argenta'!$G297</f>
        <v>5025</v>
      </c>
    </row>
    <row r="298" spans="1:8" ht="34.5" customHeight="1" x14ac:dyDescent="0.25">
      <c r="A298" s="25">
        <v>45597</v>
      </c>
      <c r="B298" s="22">
        <f>MONTH('cash book - Argenta'!$A298)</f>
        <v>11</v>
      </c>
      <c r="C298" s="23">
        <f t="shared" si="2"/>
        <v>2024</v>
      </c>
      <c r="D298" s="23"/>
      <c r="E298" s="22"/>
      <c r="F298" s="24"/>
      <c r="G298" s="24"/>
      <c r="H298" s="24">
        <f>H297+'cash book - Argenta'!$F298-'cash book - Argenta'!$G298</f>
        <v>5025</v>
      </c>
    </row>
    <row r="299" spans="1:8" ht="34.5" customHeight="1" x14ac:dyDescent="0.25">
      <c r="A299" s="21">
        <v>45597</v>
      </c>
      <c r="B299" s="22">
        <f>MONTH('cash book - Argenta'!$A299)</f>
        <v>11</v>
      </c>
      <c r="C299" s="23">
        <f t="shared" si="2"/>
        <v>2024</v>
      </c>
      <c r="D299" s="23"/>
      <c r="E299" s="22"/>
      <c r="F299" s="24"/>
      <c r="G299" s="24"/>
      <c r="H299" s="24">
        <f>H298+'cash book - Argenta'!$F299-'cash book - Argenta'!$G299</f>
        <v>5025</v>
      </c>
    </row>
    <row r="300" spans="1:8" ht="33" customHeight="1" x14ac:dyDescent="0.25">
      <c r="A300" s="25">
        <v>45601</v>
      </c>
      <c r="B300" s="22">
        <f>MONTH('cash book - Argenta'!$A300)</f>
        <v>11</v>
      </c>
      <c r="C300" s="23">
        <f t="shared" si="2"/>
        <v>2024</v>
      </c>
      <c r="D300" s="23"/>
      <c r="E300" s="22"/>
      <c r="F300" s="24"/>
      <c r="G300" s="24"/>
      <c r="H300" s="24">
        <f>H299+'cash book - Argenta'!$F300-'cash book - Argenta'!$G300</f>
        <v>5025</v>
      </c>
    </row>
    <row r="301" spans="1:8" ht="34.5" customHeight="1" x14ac:dyDescent="0.25">
      <c r="A301" s="21">
        <v>45603</v>
      </c>
      <c r="B301" s="22">
        <f>MONTH('cash book - Argenta'!$A301)</f>
        <v>11</v>
      </c>
      <c r="C301" s="23">
        <f t="shared" si="2"/>
        <v>2024</v>
      </c>
      <c r="D301" s="23"/>
      <c r="E301" s="22"/>
      <c r="F301" s="24"/>
      <c r="G301" s="24"/>
      <c r="H301" s="24">
        <f>H300+'cash book - Argenta'!$F301-'cash book - Argenta'!$G301</f>
        <v>5025</v>
      </c>
    </row>
    <row r="302" spans="1:8" ht="34.5" customHeight="1" x14ac:dyDescent="0.25">
      <c r="A302" s="25">
        <v>45604</v>
      </c>
      <c r="B302" s="22">
        <f>MONTH('cash book - Argenta'!$A302)</f>
        <v>11</v>
      </c>
      <c r="C302" s="23">
        <f t="shared" si="2"/>
        <v>2024</v>
      </c>
      <c r="D302" s="23"/>
      <c r="E302" s="22"/>
      <c r="F302" s="24"/>
      <c r="G302" s="24"/>
      <c r="H302" s="24">
        <f>H301+'cash book - Argenta'!$F302-'cash book - Argenta'!$G302</f>
        <v>5025</v>
      </c>
    </row>
    <row r="303" spans="1:8" ht="34.5" customHeight="1" x14ac:dyDescent="0.25">
      <c r="A303" s="21">
        <v>45607</v>
      </c>
      <c r="B303" s="22">
        <f>MONTH('cash book - Argenta'!$A303)</f>
        <v>11</v>
      </c>
      <c r="C303" s="23">
        <f t="shared" si="2"/>
        <v>2024</v>
      </c>
      <c r="D303" s="23"/>
      <c r="E303" s="22"/>
      <c r="F303" s="24"/>
      <c r="G303" s="24"/>
      <c r="H303" s="24">
        <f>H302+'cash book - Argenta'!$F303-'cash book - Argenta'!$G303</f>
        <v>5025</v>
      </c>
    </row>
    <row r="304" spans="1:8" ht="34.5" customHeight="1" x14ac:dyDescent="0.25">
      <c r="A304" s="25">
        <v>45638</v>
      </c>
      <c r="B304" s="22">
        <f>MONTH('cash book - Argenta'!$A304)</f>
        <v>12</v>
      </c>
      <c r="C304" s="23">
        <f t="shared" si="2"/>
        <v>2024</v>
      </c>
      <c r="D304" s="23"/>
      <c r="E304" s="22"/>
      <c r="F304" s="24"/>
      <c r="G304" s="24"/>
      <c r="H304" s="24">
        <f>H303+'cash book - Argenta'!$F304-'cash book - Argenta'!$G304</f>
        <v>5025</v>
      </c>
    </row>
    <row r="305" spans="1:8" ht="34.5" customHeight="1" x14ac:dyDescent="0.25">
      <c r="A305" s="21">
        <v>45638</v>
      </c>
      <c r="B305" s="22">
        <f>MONTH('cash book - Argenta'!$A305)</f>
        <v>12</v>
      </c>
      <c r="C305" s="23">
        <f t="shared" si="2"/>
        <v>2024</v>
      </c>
      <c r="D305" s="23"/>
      <c r="E305" s="22"/>
      <c r="F305" s="24"/>
      <c r="G305" s="24"/>
      <c r="H305" s="24">
        <f>H304+'cash book - Argenta'!$F305-'cash book - Argenta'!$G305</f>
        <v>5025</v>
      </c>
    </row>
    <row r="306" spans="1:8" ht="33" customHeight="1" x14ac:dyDescent="0.25">
      <c r="A306" s="25">
        <v>45612</v>
      </c>
      <c r="B306" s="22">
        <f>MONTH('cash book - Argenta'!$A306)</f>
        <v>11</v>
      </c>
      <c r="C306" s="23">
        <f t="shared" si="2"/>
        <v>2024</v>
      </c>
      <c r="D306" s="23"/>
      <c r="E306" s="22"/>
      <c r="F306" s="24"/>
      <c r="G306" s="24"/>
      <c r="H306" s="24">
        <f>H305+'cash book - Argenta'!$F306-'cash book - Argenta'!$G306</f>
        <v>5025</v>
      </c>
    </row>
    <row r="307" spans="1:8" ht="34.5" customHeight="1" x14ac:dyDescent="0.25">
      <c r="A307" s="21">
        <v>45614</v>
      </c>
      <c r="B307" s="22">
        <f>MONTH('cash book - Argenta'!$A307)</f>
        <v>11</v>
      </c>
      <c r="C307" s="23">
        <f t="shared" si="2"/>
        <v>2024</v>
      </c>
      <c r="D307" s="23"/>
      <c r="E307" s="22"/>
      <c r="F307" s="24"/>
      <c r="G307" s="24"/>
      <c r="H307" s="24">
        <f>H306+'cash book - Argenta'!$F307-'cash book - Argenta'!$G307</f>
        <v>5025</v>
      </c>
    </row>
    <row r="308" spans="1:8" ht="34.5" customHeight="1" x14ac:dyDescent="0.25">
      <c r="A308" s="25">
        <v>45614</v>
      </c>
      <c r="B308" s="22">
        <f>MONTH('cash book - Argenta'!$A308)</f>
        <v>11</v>
      </c>
      <c r="C308" s="23">
        <f t="shared" si="2"/>
        <v>2024</v>
      </c>
      <c r="D308" s="23"/>
      <c r="E308" s="22"/>
      <c r="F308" s="24"/>
      <c r="G308" s="24"/>
      <c r="H308" s="24">
        <f>H307+'cash book - Argenta'!$F308-'cash book - Argenta'!$G308</f>
        <v>5025</v>
      </c>
    </row>
    <row r="309" spans="1:8" ht="34.5" customHeight="1" x14ac:dyDescent="0.25">
      <c r="A309" s="21">
        <v>45614</v>
      </c>
      <c r="B309" s="22">
        <f>MONTH('cash book - Argenta'!$A309)</f>
        <v>11</v>
      </c>
      <c r="C309" s="23">
        <f t="shared" si="2"/>
        <v>2024</v>
      </c>
      <c r="D309" s="23"/>
      <c r="E309" s="22"/>
      <c r="F309" s="24"/>
      <c r="G309" s="24"/>
      <c r="H309" s="24">
        <f>H308+'cash book - Argenta'!$F309-'cash book - Argenta'!$G309</f>
        <v>5025</v>
      </c>
    </row>
    <row r="310" spans="1:8" ht="34.5" customHeight="1" x14ac:dyDescent="0.25">
      <c r="A310" s="25">
        <v>45617</v>
      </c>
      <c r="B310" s="22">
        <f>MONTH('cash book - Argenta'!$A310)</f>
        <v>11</v>
      </c>
      <c r="C310" s="23">
        <f t="shared" si="2"/>
        <v>2024</v>
      </c>
      <c r="D310" s="23"/>
      <c r="E310" s="22"/>
      <c r="F310" s="24"/>
      <c r="G310" s="24"/>
      <c r="H310" s="24">
        <f>H309+'cash book - Argenta'!$F310-'cash book - Argenta'!$G310</f>
        <v>5025</v>
      </c>
    </row>
    <row r="311" spans="1:8" ht="34.5" customHeight="1" x14ac:dyDescent="0.25">
      <c r="A311" s="21">
        <v>45618</v>
      </c>
      <c r="B311" s="22">
        <f>MONTH('cash book - Argenta'!$A311)</f>
        <v>11</v>
      </c>
      <c r="C311" s="23">
        <f t="shared" si="2"/>
        <v>2024</v>
      </c>
      <c r="D311" s="23"/>
      <c r="E311" s="22"/>
      <c r="F311" s="24"/>
      <c r="G311" s="24"/>
      <c r="H311" s="24">
        <f>H310+'cash book - Argenta'!$F311-'cash book - Argenta'!$G311</f>
        <v>5025</v>
      </c>
    </row>
    <row r="312" spans="1:8" ht="34.5" customHeight="1" x14ac:dyDescent="0.25">
      <c r="A312" s="25">
        <v>45619</v>
      </c>
      <c r="B312" s="22">
        <f>MONTH('cash book - Argenta'!$A312)</f>
        <v>11</v>
      </c>
      <c r="C312" s="23">
        <f t="shared" si="2"/>
        <v>2024</v>
      </c>
      <c r="D312" s="23"/>
      <c r="E312" s="22"/>
      <c r="F312" s="24"/>
      <c r="G312" s="24"/>
      <c r="H312" s="24">
        <f>H311+'cash book - Argenta'!$F312-'cash book - Argenta'!$G312</f>
        <v>5025</v>
      </c>
    </row>
    <row r="313" spans="1:8" ht="33" customHeight="1" x14ac:dyDescent="0.25">
      <c r="A313" s="21">
        <v>45620</v>
      </c>
      <c r="B313" s="22">
        <f>MONTH('cash book - Argenta'!$A313)</f>
        <v>11</v>
      </c>
      <c r="C313" s="23">
        <f t="shared" si="2"/>
        <v>2024</v>
      </c>
      <c r="D313" s="23"/>
      <c r="E313" s="22"/>
      <c r="F313" s="24"/>
      <c r="G313" s="24"/>
      <c r="H313" s="24">
        <f>H312+'cash book - Argenta'!$F313-'cash book - Argenta'!$G313</f>
        <v>5025</v>
      </c>
    </row>
    <row r="314" spans="1:8" ht="34.5" customHeight="1" x14ac:dyDescent="0.25">
      <c r="A314" s="25">
        <v>45621</v>
      </c>
      <c r="B314" s="22">
        <f>MONTH('cash book - Argenta'!$A314)</f>
        <v>11</v>
      </c>
      <c r="C314" s="23">
        <f t="shared" si="2"/>
        <v>2024</v>
      </c>
      <c r="D314" s="23"/>
      <c r="E314" s="22"/>
      <c r="F314" s="24"/>
      <c r="G314" s="24"/>
      <c r="H314" s="24">
        <f>H313+'cash book - Argenta'!$F314-'cash book - Argenta'!$G314</f>
        <v>5025</v>
      </c>
    </row>
    <row r="315" spans="1:8" ht="34.5" customHeight="1" x14ac:dyDescent="0.25">
      <c r="A315" s="21">
        <v>45623</v>
      </c>
      <c r="B315" s="22">
        <f>MONTH('cash book - Argenta'!$A315)</f>
        <v>11</v>
      </c>
      <c r="C315" s="23">
        <f t="shared" si="2"/>
        <v>2024</v>
      </c>
      <c r="D315" s="23"/>
      <c r="E315" s="22"/>
      <c r="F315" s="24"/>
      <c r="G315" s="24"/>
      <c r="H315" s="24">
        <f>H314+'cash book - Argenta'!$F315-'cash book - Argenta'!$G315</f>
        <v>5025</v>
      </c>
    </row>
    <row r="316" spans="1:8" ht="34.5" customHeight="1" x14ac:dyDescent="0.25">
      <c r="A316" s="25">
        <v>45624</v>
      </c>
      <c r="B316" s="22">
        <f>MONTH('cash book - Argenta'!$A316)</f>
        <v>11</v>
      </c>
      <c r="C316" s="23">
        <f t="shared" si="2"/>
        <v>2024</v>
      </c>
      <c r="D316" s="23"/>
      <c r="E316" s="22"/>
      <c r="F316" s="24"/>
      <c r="G316" s="24"/>
      <c r="H316" s="24">
        <f>H315+'cash book - Argenta'!$F316-'cash book - Argenta'!$G316</f>
        <v>5025</v>
      </c>
    </row>
    <row r="317" spans="1:8" ht="34.5" customHeight="1" x14ac:dyDescent="0.25">
      <c r="A317" s="21">
        <v>45624</v>
      </c>
      <c r="B317" s="22">
        <f>MONTH('cash book - Argenta'!$A317)</f>
        <v>11</v>
      </c>
      <c r="C317" s="23">
        <f t="shared" si="2"/>
        <v>2024</v>
      </c>
      <c r="D317" s="23"/>
      <c r="E317" s="22"/>
      <c r="F317" s="24"/>
      <c r="G317" s="24"/>
      <c r="H317" s="24">
        <f>H316+'cash book - Argenta'!$F317-'cash book - Argenta'!$G317</f>
        <v>5025</v>
      </c>
    </row>
    <row r="318" spans="1:8" ht="34.5" customHeight="1" x14ac:dyDescent="0.25">
      <c r="A318" s="25">
        <v>45625</v>
      </c>
      <c r="B318" s="22">
        <f>MONTH('cash book - Argenta'!$A318)</f>
        <v>11</v>
      </c>
      <c r="C318" s="23">
        <f t="shared" si="2"/>
        <v>2024</v>
      </c>
      <c r="D318" s="23"/>
      <c r="E318" s="22"/>
      <c r="F318" s="24"/>
      <c r="G318" s="24"/>
      <c r="H318" s="24">
        <f>H317+'cash book - Argenta'!$F318-'cash book - Argenta'!$G318</f>
        <v>5025</v>
      </c>
    </row>
    <row r="319" spans="1:8" ht="33" customHeight="1" x14ac:dyDescent="0.25">
      <c r="A319" s="21">
        <v>45625</v>
      </c>
      <c r="B319" s="22">
        <f>MONTH('cash book - Argenta'!$A319)</f>
        <v>11</v>
      </c>
      <c r="C319" s="23">
        <f t="shared" si="2"/>
        <v>2024</v>
      </c>
      <c r="D319" s="23"/>
      <c r="E319" s="22"/>
      <c r="F319" s="24"/>
      <c r="G319" s="24"/>
      <c r="H319" s="24">
        <f>H318+'cash book - Argenta'!$F319-'cash book - Argenta'!$G319</f>
        <v>5025</v>
      </c>
    </row>
    <row r="320" spans="1:8" ht="34.5" customHeight="1" x14ac:dyDescent="0.25">
      <c r="A320" s="25">
        <v>45626</v>
      </c>
      <c r="B320" s="22">
        <f>MONTH('cash book - Argenta'!$A320)</f>
        <v>11</v>
      </c>
      <c r="C320" s="23">
        <f t="shared" si="2"/>
        <v>2024</v>
      </c>
      <c r="D320" s="23"/>
      <c r="E320" s="22"/>
      <c r="F320" s="24"/>
      <c r="G320" s="24"/>
      <c r="H320" s="24">
        <f>H319+'cash book - Argenta'!$F320-'cash book - Argenta'!$G320</f>
        <v>5025</v>
      </c>
    </row>
    <row r="321" spans="1:8" ht="34.5" customHeight="1" x14ac:dyDescent="0.25">
      <c r="A321" s="21">
        <v>45627</v>
      </c>
      <c r="B321" s="22">
        <f>MONTH('cash book - Argenta'!$A321)</f>
        <v>12</v>
      </c>
      <c r="C321" s="23">
        <f t="shared" si="2"/>
        <v>2024</v>
      </c>
      <c r="D321" s="23"/>
      <c r="E321" s="22"/>
      <c r="F321" s="24"/>
      <c r="G321" s="24"/>
      <c r="H321" s="24">
        <f>H320+'cash book - Argenta'!$F321-'cash book - Argenta'!$G321</f>
        <v>5025</v>
      </c>
    </row>
    <row r="322" spans="1:8" ht="34.5" customHeight="1" x14ac:dyDescent="0.25">
      <c r="A322" s="25">
        <v>45627</v>
      </c>
      <c r="B322" s="22">
        <f>MONTH('cash book - Argenta'!$A322)</f>
        <v>12</v>
      </c>
      <c r="C322" s="23">
        <f t="shared" si="2"/>
        <v>2024</v>
      </c>
      <c r="D322" s="23"/>
      <c r="E322" s="22"/>
      <c r="F322" s="24"/>
      <c r="G322" s="24"/>
      <c r="H322" s="24">
        <f>H321+'cash book - Argenta'!$F322-'cash book - Argenta'!$G322</f>
        <v>5025</v>
      </c>
    </row>
    <row r="323" spans="1:8" ht="33" customHeight="1" x14ac:dyDescent="0.25">
      <c r="A323" s="21">
        <v>45628</v>
      </c>
      <c r="B323" s="22">
        <f>MONTH('cash book - Argenta'!$A323)</f>
        <v>12</v>
      </c>
      <c r="C323" s="23">
        <f t="shared" si="2"/>
        <v>2024</v>
      </c>
      <c r="D323" s="23"/>
      <c r="E323" s="22"/>
      <c r="F323" s="24"/>
      <c r="G323" s="24"/>
      <c r="H323" s="24">
        <f>H322+'cash book - Argenta'!$F323-'cash book - Argenta'!$G323</f>
        <v>5025</v>
      </c>
    </row>
    <row r="324" spans="1:8" ht="34.5" customHeight="1" x14ac:dyDescent="0.25">
      <c r="A324" s="25">
        <v>45628</v>
      </c>
      <c r="B324" s="22">
        <f>MONTH('cash book - Argenta'!$A324)</f>
        <v>12</v>
      </c>
      <c r="C324" s="23">
        <f t="shared" si="2"/>
        <v>2024</v>
      </c>
      <c r="D324" s="23"/>
      <c r="E324" s="22"/>
      <c r="F324" s="24"/>
      <c r="G324" s="24"/>
      <c r="H324" s="24">
        <f>H323+'cash book - Argenta'!$F324-'cash book - Argenta'!$G324</f>
        <v>5025</v>
      </c>
    </row>
    <row r="325" spans="1:8" ht="34.5" customHeight="1" x14ac:dyDescent="0.25">
      <c r="A325" s="21">
        <v>45628</v>
      </c>
      <c r="B325" s="22">
        <f>MONTH('cash book - Argenta'!$A325)</f>
        <v>12</v>
      </c>
      <c r="C325" s="23">
        <f t="shared" si="2"/>
        <v>2024</v>
      </c>
      <c r="D325" s="23"/>
      <c r="E325" s="22"/>
      <c r="F325" s="24"/>
      <c r="G325" s="24"/>
      <c r="H325" s="24">
        <f>H324+'cash book - Argenta'!$F325-'cash book - Argenta'!$G325</f>
        <v>5025</v>
      </c>
    </row>
    <row r="326" spans="1:8" ht="34.5" customHeight="1" x14ac:dyDescent="0.25">
      <c r="A326" s="25">
        <v>45629</v>
      </c>
      <c r="B326" s="22">
        <f>MONTH('cash book - Argenta'!$A326)</f>
        <v>12</v>
      </c>
      <c r="C326" s="23">
        <f t="shared" si="2"/>
        <v>2024</v>
      </c>
      <c r="D326" s="23"/>
      <c r="E326" s="22"/>
      <c r="F326" s="24"/>
      <c r="G326" s="24"/>
      <c r="H326" s="24">
        <f>H325+'cash book - Argenta'!$F326-'cash book - Argenta'!$G326</f>
        <v>5025</v>
      </c>
    </row>
    <row r="327" spans="1:8" ht="33" customHeight="1" x14ac:dyDescent="0.25">
      <c r="A327" s="21">
        <v>45630</v>
      </c>
      <c r="B327" s="22">
        <f>MONTH('cash book - Argenta'!$A327)</f>
        <v>12</v>
      </c>
      <c r="C327" s="23">
        <f t="shared" si="2"/>
        <v>2024</v>
      </c>
      <c r="D327" s="23"/>
      <c r="E327" s="22"/>
      <c r="F327" s="24"/>
      <c r="G327" s="24"/>
      <c r="H327" s="24">
        <f>H326+'cash book - Argenta'!$F327-'cash book - Argenta'!$G327</f>
        <v>5025</v>
      </c>
    </row>
    <row r="328" spans="1:8" ht="34.5" customHeight="1" x14ac:dyDescent="0.25">
      <c r="A328" s="25">
        <v>45632</v>
      </c>
      <c r="B328" s="22">
        <f>MONTH('cash book - Argenta'!$A328)</f>
        <v>12</v>
      </c>
      <c r="C328" s="23">
        <f t="shared" si="2"/>
        <v>2024</v>
      </c>
      <c r="D328" s="23"/>
      <c r="E328" s="22"/>
      <c r="F328" s="24"/>
      <c r="G328" s="24"/>
      <c r="H328" s="24">
        <f>H327+'cash book - Argenta'!$F328-'cash book - Argenta'!$G328</f>
        <v>5025</v>
      </c>
    </row>
    <row r="329" spans="1:8" ht="34.5" customHeight="1" x14ac:dyDescent="0.25">
      <c r="A329" s="21">
        <v>45632</v>
      </c>
      <c r="B329" s="22">
        <f>MONTH('cash book - Argenta'!$A329)</f>
        <v>12</v>
      </c>
      <c r="C329" s="23">
        <f t="shared" si="2"/>
        <v>2024</v>
      </c>
      <c r="D329" s="23"/>
      <c r="E329" s="22"/>
      <c r="F329" s="24"/>
      <c r="G329" s="24"/>
      <c r="H329" s="24">
        <f>H328+'cash book - Argenta'!$F329-'cash book - Argenta'!$G329</f>
        <v>5025</v>
      </c>
    </row>
    <row r="330" spans="1:8" ht="34.5" customHeight="1" x14ac:dyDescent="0.25">
      <c r="A330" s="25">
        <v>45633</v>
      </c>
      <c r="B330" s="22">
        <f>MONTH('cash book - Argenta'!$A330)</f>
        <v>12</v>
      </c>
      <c r="C330" s="23">
        <f t="shared" si="2"/>
        <v>2024</v>
      </c>
      <c r="D330" s="23"/>
      <c r="E330" s="22"/>
      <c r="F330" s="24"/>
      <c r="G330" s="24"/>
      <c r="H330" s="24">
        <f>H329+'cash book - Argenta'!$F330-'cash book - Argenta'!$G330</f>
        <v>5025</v>
      </c>
    </row>
    <row r="331" spans="1:8" ht="34.5" customHeight="1" x14ac:dyDescent="0.25">
      <c r="A331" s="21">
        <v>45633</v>
      </c>
      <c r="B331" s="22">
        <f>MONTH('cash book - Argenta'!$A331)</f>
        <v>12</v>
      </c>
      <c r="C331" s="23">
        <f t="shared" si="2"/>
        <v>2024</v>
      </c>
      <c r="D331" s="23"/>
      <c r="E331" s="22"/>
      <c r="F331" s="24"/>
      <c r="G331" s="24"/>
      <c r="H331" s="24">
        <f>H330+'cash book - Argenta'!$F331-'cash book - Argenta'!$G331</f>
        <v>5025</v>
      </c>
    </row>
    <row r="332" spans="1:8" ht="34.5" customHeight="1" x14ac:dyDescent="0.25">
      <c r="A332" s="25">
        <v>45634</v>
      </c>
      <c r="B332" s="22">
        <f>MONTH('cash book - Argenta'!$A332)</f>
        <v>12</v>
      </c>
      <c r="C332" s="23">
        <f t="shared" si="2"/>
        <v>2024</v>
      </c>
      <c r="D332" s="23"/>
      <c r="E332" s="22"/>
      <c r="F332" s="24"/>
      <c r="G332" s="24"/>
      <c r="H332" s="24">
        <f>H331+'cash book - Argenta'!$F332-'cash book - Argenta'!$G332</f>
        <v>5025</v>
      </c>
    </row>
    <row r="333" spans="1:8" ht="33" customHeight="1" x14ac:dyDescent="0.25">
      <c r="A333" s="21">
        <v>45634</v>
      </c>
      <c r="B333" s="22">
        <f>MONTH('cash book - Argenta'!$A333)</f>
        <v>12</v>
      </c>
      <c r="C333" s="23">
        <f t="shared" si="2"/>
        <v>2024</v>
      </c>
      <c r="D333" s="23"/>
      <c r="E333" s="22"/>
      <c r="F333" s="24"/>
      <c r="G333" s="24"/>
      <c r="H333" s="24">
        <f>H332+'cash book - Argenta'!$F333-'cash book - Argenta'!$G333</f>
        <v>5025</v>
      </c>
    </row>
    <row r="334" spans="1:8" ht="34.5" customHeight="1" x14ac:dyDescent="0.25">
      <c r="A334" s="25">
        <v>45635</v>
      </c>
      <c r="B334" s="22">
        <f>MONTH('cash book - Argenta'!$A334)</f>
        <v>12</v>
      </c>
      <c r="C334" s="23">
        <f t="shared" si="2"/>
        <v>2024</v>
      </c>
      <c r="D334" s="23"/>
      <c r="E334" s="22"/>
      <c r="F334" s="24"/>
      <c r="G334" s="24"/>
      <c r="H334" s="24">
        <f>H333+'cash book - Argenta'!$F334-'cash book - Argenta'!$G334</f>
        <v>5025</v>
      </c>
    </row>
    <row r="335" spans="1:8" ht="34.5" customHeight="1" x14ac:dyDescent="0.25">
      <c r="A335" s="21">
        <v>45637</v>
      </c>
      <c r="B335" s="22">
        <f>MONTH('cash book - Argenta'!$A335)</f>
        <v>12</v>
      </c>
      <c r="C335" s="23">
        <f t="shared" si="2"/>
        <v>2024</v>
      </c>
      <c r="D335" s="23"/>
      <c r="E335" s="22"/>
      <c r="F335" s="24"/>
      <c r="G335" s="24"/>
      <c r="H335" s="24">
        <f>H334+'cash book - Argenta'!$F335-'cash book - Argenta'!$G335</f>
        <v>5025</v>
      </c>
    </row>
    <row r="336" spans="1:8" ht="34.5" customHeight="1" x14ac:dyDescent="0.25">
      <c r="A336" s="25">
        <v>45638</v>
      </c>
      <c r="B336" s="22">
        <f>MONTH('cash book - Argenta'!$A336)</f>
        <v>12</v>
      </c>
      <c r="C336" s="23">
        <f t="shared" si="2"/>
        <v>2024</v>
      </c>
      <c r="D336" s="23"/>
      <c r="E336" s="22"/>
      <c r="F336" s="24"/>
      <c r="G336" s="24"/>
      <c r="H336" s="24">
        <f>H335+'cash book - Argenta'!$F336-'cash book - Argenta'!$G336</f>
        <v>5025</v>
      </c>
    </row>
    <row r="337" spans="1:8" ht="34.5" customHeight="1" x14ac:dyDescent="0.25">
      <c r="A337" s="21">
        <v>45638</v>
      </c>
      <c r="B337" s="22">
        <f>MONTH('cash book - Argenta'!$A337)</f>
        <v>12</v>
      </c>
      <c r="C337" s="23">
        <f t="shared" si="2"/>
        <v>2024</v>
      </c>
      <c r="D337" s="23"/>
      <c r="E337" s="22"/>
      <c r="F337" s="24"/>
      <c r="G337" s="24"/>
      <c r="H337" s="24">
        <f>H336+'cash book - Argenta'!$F337-'cash book - Argenta'!$G337</f>
        <v>5025</v>
      </c>
    </row>
    <row r="338" spans="1:8" ht="34.5" customHeight="1" x14ac:dyDescent="0.25">
      <c r="A338" s="25">
        <v>45638</v>
      </c>
      <c r="B338" s="22">
        <f>MONTH('cash book - Argenta'!$A338)</f>
        <v>12</v>
      </c>
      <c r="C338" s="23">
        <f t="shared" si="2"/>
        <v>2024</v>
      </c>
      <c r="D338" s="23"/>
      <c r="E338" s="22"/>
      <c r="F338" s="24"/>
      <c r="G338" s="24"/>
      <c r="H338" s="24">
        <f>H337+'cash book - Argenta'!$F338-'cash book - Argenta'!$G338</f>
        <v>5025</v>
      </c>
    </row>
    <row r="339" spans="1:8" ht="34.5" customHeight="1" x14ac:dyDescent="0.25">
      <c r="A339" s="21">
        <v>45639</v>
      </c>
      <c r="B339" s="22">
        <f>MONTH('cash book - Argenta'!$A339)</f>
        <v>12</v>
      </c>
      <c r="C339" s="23">
        <f t="shared" si="2"/>
        <v>2024</v>
      </c>
      <c r="D339" s="23"/>
      <c r="E339" s="22"/>
      <c r="F339" s="24"/>
      <c r="G339" s="24"/>
      <c r="H339" s="24">
        <f>H338+'cash book - Argenta'!$F339-'cash book - Argenta'!$G339</f>
        <v>5025</v>
      </c>
    </row>
    <row r="340" spans="1:8" ht="33" customHeight="1" x14ac:dyDescent="0.25">
      <c r="A340" s="25">
        <v>45639</v>
      </c>
      <c r="B340" s="22">
        <f>MONTH('cash book - Argenta'!$A340)</f>
        <v>12</v>
      </c>
      <c r="C340" s="23">
        <f t="shared" si="2"/>
        <v>2024</v>
      </c>
      <c r="D340" s="23"/>
      <c r="E340" s="22"/>
      <c r="F340" s="24"/>
      <c r="G340" s="24"/>
      <c r="H340" s="24">
        <f>H339+'cash book - Argenta'!$F340-'cash book - Argenta'!$G340</f>
        <v>5025</v>
      </c>
    </row>
    <row r="341" spans="1:8" ht="34.5" customHeight="1" x14ac:dyDescent="0.25">
      <c r="A341" s="21">
        <v>45639</v>
      </c>
      <c r="B341" s="22">
        <f>MONTH('cash book - Argenta'!$A341)</f>
        <v>12</v>
      </c>
      <c r="C341" s="23">
        <f t="shared" si="2"/>
        <v>2024</v>
      </c>
      <c r="D341" s="23"/>
      <c r="E341" s="22"/>
      <c r="F341" s="24"/>
      <c r="G341" s="24"/>
      <c r="H341" s="24">
        <f>H340+'cash book - Argenta'!$F341-'cash book - Argenta'!$G341</f>
        <v>5025</v>
      </c>
    </row>
    <row r="342" spans="1:8" ht="34.5" customHeight="1" x14ac:dyDescent="0.25">
      <c r="A342" s="25">
        <v>45640</v>
      </c>
      <c r="B342" s="22">
        <f>MONTH('cash book - Argenta'!$A342)</f>
        <v>12</v>
      </c>
      <c r="C342" s="23">
        <f t="shared" si="2"/>
        <v>2024</v>
      </c>
      <c r="D342" s="23"/>
      <c r="E342" s="22"/>
      <c r="F342" s="24"/>
      <c r="G342" s="24"/>
      <c r="H342" s="24">
        <f>H341+'cash book - Argenta'!$F342-'cash book - Argenta'!$G342</f>
        <v>5025</v>
      </c>
    </row>
    <row r="343" spans="1:8" ht="34.5" customHeight="1" x14ac:dyDescent="0.25">
      <c r="A343" s="21">
        <v>45641</v>
      </c>
      <c r="B343" s="22">
        <f>MONTH('cash book - Argenta'!$A343)</f>
        <v>12</v>
      </c>
      <c r="C343" s="23">
        <f t="shared" si="2"/>
        <v>2024</v>
      </c>
      <c r="D343" s="23"/>
      <c r="E343" s="22"/>
      <c r="F343" s="24"/>
      <c r="G343" s="24"/>
      <c r="H343" s="24">
        <f>H342+'cash book - Argenta'!$F343-'cash book - Argenta'!$G343</f>
        <v>5025</v>
      </c>
    </row>
    <row r="344" spans="1:8" ht="34.5" customHeight="1" x14ac:dyDescent="0.25">
      <c r="A344" s="25">
        <v>45641</v>
      </c>
      <c r="B344" s="22">
        <f>MONTH('cash book - Argenta'!$A344)</f>
        <v>12</v>
      </c>
      <c r="C344" s="23">
        <f t="shared" si="2"/>
        <v>2024</v>
      </c>
      <c r="D344" s="23"/>
      <c r="E344" s="22"/>
      <c r="F344" s="24"/>
      <c r="G344" s="24"/>
      <c r="H344" s="24">
        <f>H343+'cash book - Argenta'!$F344-'cash book - Argenta'!$G344</f>
        <v>5025</v>
      </c>
    </row>
    <row r="345" spans="1:8" ht="34.5" customHeight="1" x14ac:dyDescent="0.25">
      <c r="A345" s="21">
        <v>45642</v>
      </c>
      <c r="B345" s="22">
        <f>MONTH('cash book - Argenta'!$A345)</f>
        <v>12</v>
      </c>
      <c r="C345" s="23">
        <f t="shared" si="2"/>
        <v>2024</v>
      </c>
      <c r="D345" s="23"/>
      <c r="E345" s="22"/>
      <c r="F345" s="24"/>
      <c r="G345" s="24"/>
      <c r="H345" s="24">
        <f>H344+'cash book - Argenta'!$F345-'cash book - Argenta'!$G345</f>
        <v>5025</v>
      </c>
    </row>
    <row r="346" spans="1:8" ht="33" customHeight="1" x14ac:dyDescent="0.25">
      <c r="A346" s="25">
        <v>45643</v>
      </c>
      <c r="B346" s="22">
        <f>MONTH('cash book - Argenta'!$A346)</f>
        <v>12</v>
      </c>
      <c r="C346" s="23">
        <f t="shared" si="2"/>
        <v>2024</v>
      </c>
      <c r="D346" s="23"/>
      <c r="E346" s="22"/>
      <c r="F346" s="24"/>
      <c r="G346" s="24"/>
      <c r="H346" s="24">
        <f>H345+'cash book - Argenta'!$F346-'cash book - Argenta'!$G346</f>
        <v>5025</v>
      </c>
    </row>
    <row r="347" spans="1:8" ht="34.5" customHeight="1" x14ac:dyDescent="0.25">
      <c r="A347" s="21">
        <v>45643</v>
      </c>
      <c r="B347" s="22">
        <f>MONTH('cash book - Argenta'!$A347)</f>
        <v>12</v>
      </c>
      <c r="C347" s="23">
        <f t="shared" si="2"/>
        <v>2024</v>
      </c>
      <c r="D347" s="23"/>
      <c r="E347" s="22"/>
      <c r="F347" s="24"/>
      <c r="G347" s="24"/>
      <c r="H347" s="24">
        <f>H346+'cash book - Argenta'!$F347-'cash book - Argenta'!$G347</f>
        <v>5025</v>
      </c>
    </row>
    <row r="348" spans="1:8" ht="33" customHeight="1" x14ac:dyDescent="0.25">
      <c r="A348" s="25">
        <v>45644</v>
      </c>
      <c r="B348" s="22">
        <f>MONTH('cash book - Argenta'!$A348)</f>
        <v>12</v>
      </c>
      <c r="C348" s="23">
        <f t="shared" si="2"/>
        <v>2024</v>
      </c>
      <c r="D348" s="23"/>
      <c r="E348" s="22"/>
      <c r="F348" s="24"/>
      <c r="G348" s="24"/>
      <c r="H348" s="24">
        <f>H347+'cash book - Argenta'!$F348-'cash book - Argenta'!$G348</f>
        <v>5025</v>
      </c>
    </row>
    <row r="349" spans="1:8" ht="34.5" customHeight="1" x14ac:dyDescent="0.25">
      <c r="A349" s="21">
        <v>45645</v>
      </c>
      <c r="B349" s="22">
        <f>MONTH('cash book - Argenta'!$A349)</f>
        <v>12</v>
      </c>
      <c r="C349" s="23">
        <f t="shared" si="2"/>
        <v>2024</v>
      </c>
      <c r="D349" s="23"/>
      <c r="E349" s="22"/>
      <c r="F349" s="24"/>
      <c r="G349" s="24"/>
      <c r="H349" s="24">
        <f>H348+'cash book - Argenta'!$F349-'cash book - Argenta'!$G349</f>
        <v>5025</v>
      </c>
    </row>
    <row r="350" spans="1:8" ht="34.5" customHeight="1" x14ac:dyDescent="0.25">
      <c r="A350" s="25">
        <v>45646</v>
      </c>
      <c r="B350" s="22">
        <f>MONTH('cash book - Argenta'!$A350)</f>
        <v>12</v>
      </c>
      <c r="C350" s="23">
        <f t="shared" si="2"/>
        <v>2024</v>
      </c>
      <c r="D350" s="23"/>
      <c r="E350" s="22"/>
      <c r="F350" s="24"/>
      <c r="G350" s="24"/>
      <c r="H350" s="24">
        <f>H349+'cash book - Argenta'!$F350-'cash book - Argenta'!$G350</f>
        <v>5025</v>
      </c>
    </row>
    <row r="351" spans="1:8" ht="34.5" customHeight="1" x14ac:dyDescent="0.25">
      <c r="A351" s="21">
        <v>45649</v>
      </c>
      <c r="B351" s="22">
        <f>MONTH('cash book - Argenta'!$A351)</f>
        <v>12</v>
      </c>
      <c r="C351" s="23">
        <f t="shared" si="2"/>
        <v>2024</v>
      </c>
      <c r="D351" s="23"/>
      <c r="E351" s="22"/>
      <c r="F351" s="24"/>
      <c r="G351" s="24"/>
      <c r="H351" s="24">
        <f>H350+'cash book - Argenta'!$F351-'cash book - Argenta'!$G351</f>
        <v>5025</v>
      </c>
    </row>
    <row r="352" spans="1:8" ht="33" customHeight="1" x14ac:dyDescent="0.25">
      <c r="A352" s="25">
        <v>45649</v>
      </c>
      <c r="B352" s="22">
        <f>MONTH('cash book - Argenta'!$A352)</f>
        <v>12</v>
      </c>
      <c r="C352" s="23">
        <f t="shared" si="2"/>
        <v>2024</v>
      </c>
      <c r="D352" s="23"/>
      <c r="E352" s="22"/>
      <c r="F352" s="24"/>
      <c r="G352" s="24"/>
      <c r="H352" s="24">
        <f>H351+'cash book - Argenta'!$F352-'cash book - Argenta'!$G352</f>
        <v>5025</v>
      </c>
    </row>
    <row r="353" spans="1:8" ht="34.5" customHeight="1" x14ac:dyDescent="0.25">
      <c r="A353" s="21">
        <v>45649</v>
      </c>
      <c r="B353" s="22">
        <f>MONTH('cash book - Argenta'!$A353)</f>
        <v>12</v>
      </c>
      <c r="C353" s="23">
        <f t="shared" si="2"/>
        <v>2024</v>
      </c>
      <c r="D353" s="23"/>
      <c r="E353" s="22"/>
      <c r="F353" s="24"/>
      <c r="G353" s="24"/>
      <c r="H353" s="24">
        <f>H352+'cash book - Argenta'!$F353-'cash book - Argenta'!$G353</f>
        <v>5025</v>
      </c>
    </row>
    <row r="354" spans="1:8" ht="34.5" customHeight="1" x14ac:dyDescent="0.25">
      <c r="A354" s="25">
        <v>45650</v>
      </c>
      <c r="B354" s="22">
        <f>MONTH('cash book - Argenta'!$A354)</f>
        <v>12</v>
      </c>
      <c r="C354" s="23">
        <f t="shared" si="2"/>
        <v>2024</v>
      </c>
      <c r="D354" s="23"/>
      <c r="E354" s="22"/>
      <c r="F354" s="24"/>
      <c r="G354" s="24"/>
      <c r="H354" s="24">
        <f>H353+'cash book - Argenta'!$F354-'cash book - Argenta'!$G354</f>
        <v>5025</v>
      </c>
    </row>
    <row r="355" spans="1:8" ht="34.5" customHeight="1" x14ac:dyDescent="0.25">
      <c r="A355" s="21">
        <v>45658</v>
      </c>
      <c r="B355" s="22">
        <f>MONTH('cash book - Argenta'!$A355)</f>
        <v>1</v>
      </c>
      <c r="C355" s="23">
        <f t="shared" si="2"/>
        <v>2025</v>
      </c>
      <c r="D355" s="23"/>
      <c r="E355" s="22"/>
      <c r="F355" s="24"/>
      <c r="G355" s="24"/>
      <c r="H355" s="24">
        <f>H354+'cash book - Argenta'!$F355-'cash book - Argenta'!$G355</f>
        <v>5025</v>
      </c>
    </row>
    <row r="356" spans="1:8" ht="34.5" customHeight="1" x14ac:dyDescent="0.25">
      <c r="A356" s="29">
        <v>45659</v>
      </c>
      <c r="B356" s="22">
        <f>MONTH('cash book - Argenta'!$A356)</f>
        <v>1</v>
      </c>
      <c r="C356" s="23">
        <f t="shared" si="2"/>
        <v>2025</v>
      </c>
      <c r="D356" s="23"/>
      <c r="E356" s="22"/>
      <c r="F356" s="24"/>
      <c r="G356" s="24"/>
      <c r="H356" s="24">
        <f>H355+'cash book - Argenta'!$F356-'cash book - Argenta'!$G356</f>
        <v>5025</v>
      </c>
    </row>
    <row r="357" spans="1:8" ht="34.5" customHeight="1" x14ac:dyDescent="0.25">
      <c r="A357" s="21">
        <v>45660</v>
      </c>
      <c r="B357" s="22">
        <f>MONTH('cash book - Argenta'!$A357)</f>
        <v>1</v>
      </c>
      <c r="C357" s="23">
        <f t="shared" si="2"/>
        <v>2025</v>
      </c>
      <c r="D357" s="23"/>
      <c r="E357" s="22"/>
      <c r="F357" s="24"/>
      <c r="G357" s="24"/>
      <c r="H357" s="24">
        <f>H356+'cash book - Argenta'!$F357-'cash book - Argenta'!$G357</f>
        <v>5025</v>
      </c>
    </row>
    <row r="358" spans="1:8" ht="33" customHeight="1" x14ac:dyDescent="0.25">
      <c r="A358" s="29">
        <v>45661</v>
      </c>
      <c r="B358" s="22">
        <f>MONTH('cash book - Argenta'!$A358)</f>
        <v>1</v>
      </c>
      <c r="C358" s="23">
        <f t="shared" si="2"/>
        <v>2025</v>
      </c>
      <c r="D358" s="23"/>
      <c r="E358" s="22"/>
      <c r="F358" s="24"/>
      <c r="G358" s="24"/>
      <c r="H358" s="24">
        <f>H357+'cash book - Argenta'!$F358-'cash book - Argenta'!$G358</f>
        <v>5025</v>
      </c>
    </row>
    <row r="359" spans="1:8" ht="34.5" customHeight="1" x14ac:dyDescent="0.25">
      <c r="A359" s="21">
        <v>45662</v>
      </c>
      <c r="B359" s="22">
        <f>MONTH('cash book - Argenta'!$A359)</f>
        <v>1</v>
      </c>
      <c r="C359" s="23">
        <f t="shared" si="2"/>
        <v>2025</v>
      </c>
      <c r="D359" s="23"/>
      <c r="E359" s="22"/>
      <c r="F359" s="24"/>
      <c r="G359" s="24"/>
      <c r="H359" s="24">
        <f>H358+'cash book - Argenta'!$F359-'cash book - Argenta'!$G359</f>
        <v>5025</v>
      </c>
    </row>
    <row r="360" spans="1:8" ht="34.5" customHeight="1" x14ac:dyDescent="0.25">
      <c r="A360" s="29">
        <v>45663</v>
      </c>
      <c r="B360" s="22">
        <f>MONTH('cash book - Argenta'!$A360)</f>
        <v>1</v>
      </c>
      <c r="C360" s="23">
        <f t="shared" si="2"/>
        <v>2025</v>
      </c>
      <c r="D360" s="23"/>
      <c r="E360" s="22"/>
      <c r="F360" s="24"/>
      <c r="G360" s="24"/>
      <c r="H360" s="24">
        <f>H359+'cash book - Argenta'!$F360-'cash book - Argenta'!$G360</f>
        <v>5025</v>
      </c>
    </row>
    <row r="361" spans="1:8" ht="34.5" customHeight="1" x14ac:dyDescent="0.25">
      <c r="A361" s="21">
        <v>45664</v>
      </c>
      <c r="B361" s="22">
        <f>MONTH('cash book - Argenta'!$A361)</f>
        <v>1</v>
      </c>
      <c r="C361" s="23">
        <f t="shared" si="2"/>
        <v>2025</v>
      </c>
      <c r="D361" s="23"/>
      <c r="E361" s="22"/>
      <c r="F361" s="24"/>
      <c r="G361" s="24"/>
      <c r="H361" s="24">
        <f>H360+'cash book - Argenta'!$F361-'cash book - Argenta'!$G361</f>
        <v>5025</v>
      </c>
    </row>
    <row r="362" spans="1:8" ht="34.5" customHeight="1" x14ac:dyDescent="0.25">
      <c r="A362" s="29">
        <v>45665</v>
      </c>
      <c r="B362" s="22">
        <f>MONTH('cash book - Argenta'!$A362)</f>
        <v>1</v>
      </c>
      <c r="C362" s="23">
        <f t="shared" si="2"/>
        <v>2025</v>
      </c>
      <c r="D362" s="23"/>
      <c r="E362" s="22"/>
      <c r="F362" s="24"/>
      <c r="G362" s="24"/>
      <c r="H362" s="24">
        <f>H361+'cash book - Argenta'!$F362-'cash book - Argenta'!$G362</f>
        <v>5025</v>
      </c>
    </row>
    <row r="363" spans="1:8" ht="34.5" customHeight="1" x14ac:dyDescent="0.25">
      <c r="A363" s="21">
        <v>45666</v>
      </c>
      <c r="B363" s="22">
        <f>MONTH('cash book - Argenta'!$A363)</f>
        <v>1</v>
      </c>
      <c r="C363" s="23">
        <f t="shared" si="2"/>
        <v>2025</v>
      </c>
      <c r="D363" s="23"/>
      <c r="E363" s="22"/>
      <c r="F363" s="24"/>
      <c r="G363" s="24"/>
      <c r="H363" s="24">
        <f>H362+'cash book - Argenta'!$F363-'cash book - Argenta'!$G363</f>
        <v>5025</v>
      </c>
    </row>
    <row r="364" spans="1:8" ht="34.5" customHeight="1" x14ac:dyDescent="0.25">
      <c r="A364" s="29">
        <v>45667</v>
      </c>
      <c r="B364" s="22">
        <f>MONTH('cash book - Argenta'!$A364)</f>
        <v>1</v>
      </c>
      <c r="C364" s="23">
        <f t="shared" si="2"/>
        <v>2025</v>
      </c>
      <c r="D364" s="23"/>
      <c r="E364" s="22"/>
      <c r="F364" s="24"/>
      <c r="G364" s="24"/>
      <c r="H364" s="24">
        <f>H363+'cash book - Argenta'!$F364-'cash book - Argenta'!$G364</f>
        <v>5025</v>
      </c>
    </row>
    <row r="365" spans="1:8" ht="33" customHeight="1" x14ac:dyDescent="0.25">
      <c r="A365" s="21">
        <v>45668</v>
      </c>
      <c r="B365" s="22">
        <f>MONTH('cash book - Argenta'!$A365)</f>
        <v>1</v>
      </c>
      <c r="C365" s="23">
        <f t="shared" si="2"/>
        <v>2025</v>
      </c>
      <c r="D365" s="23"/>
      <c r="E365" s="22"/>
      <c r="F365" s="24"/>
      <c r="G365" s="24"/>
      <c r="H365" s="24">
        <f>H364+'cash book - Argenta'!$F365-'cash book - Argenta'!$G365</f>
        <v>5025</v>
      </c>
    </row>
    <row r="366" spans="1:8" ht="34.5" customHeight="1" x14ac:dyDescent="0.25">
      <c r="A366" s="29">
        <v>45669</v>
      </c>
      <c r="B366" s="22">
        <f>MONTH('cash book - Argenta'!$A366)</f>
        <v>1</v>
      </c>
      <c r="C366" s="23">
        <f t="shared" si="2"/>
        <v>2025</v>
      </c>
      <c r="D366" s="23"/>
      <c r="E366" s="22"/>
      <c r="F366" s="24"/>
      <c r="G366" s="24"/>
      <c r="H366" s="24">
        <f>H365+'cash book - Argenta'!$F366-'cash book - Argenta'!$G366</f>
        <v>5025</v>
      </c>
    </row>
    <row r="367" spans="1:8" ht="34.5" customHeight="1" x14ac:dyDescent="0.25">
      <c r="A367" s="21">
        <v>45670</v>
      </c>
      <c r="B367" s="22">
        <f>MONTH('cash book - Argenta'!$A367)</f>
        <v>1</v>
      </c>
      <c r="C367" s="23">
        <f t="shared" si="2"/>
        <v>2025</v>
      </c>
      <c r="D367" s="23"/>
      <c r="E367" s="22"/>
      <c r="F367" s="24"/>
      <c r="G367" s="24"/>
      <c r="H367" s="24">
        <f>H366+'cash book - Argenta'!$F367-'cash book - Argenta'!$G367</f>
        <v>5025</v>
      </c>
    </row>
    <row r="368" spans="1:8" ht="34.5" customHeight="1" x14ac:dyDescent="0.25">
      <c r="A368" s="29">
        <v>45671</v>
      </c>
      <c r="B368" s="22">
        <f>MONTH('cash book - Argenta'!$A368)</f>
        <v>1</v>
      </c>
      <c r="C368" s="23">
        <f t="shared" si="2"/>
        <v>2025</v>
      </c>
      <c r="D368" s="23"/>
      <c r="E368" s="22"/>
      <c r="F368" s="24"/>
      <c r="G368" s="24"/>
      <c r="H368" s="24">
        <f>H367+'cash book - Argenta'!$F368-'cash book - Argenta'!$G368</f>
        <v>5025</v>
      </c>
    </row>
    <row r="369" spans="1:8" ht="34.5" customHeight="1" x14ac:dyDescent="0.25">
      <c r="A369" s="21">
        <v>45672</v>
      </c>
      <c r="B369" s="22">
        <f>MONTH('cash book - Argenta'!$A369)</f>
        <v>1</v>
      </c>
      <c r="C369" s="23">
        <f t="shared" si="2"/>
        <v>2025</v>
      </c>
      <c r="D369" s="23"/>
      <c r="E369" s="22"/>
      <c r="F369" s="24"/>
      <c r="G369" s="24"/>
      <c r="H369" s="24">
        <f>H368+'cash book - Argenta'!$F369-'cash book - Argenta'!$G369</f>
        <v>5025</v>
      </c>
    </row>
    <row r="370" spans="1:8" ht="34.5" customHeight="1" x14ac:dyDescent="0.25">
      <c r="A370" s="30">
        <v>45673</v>
      </c>
      <c r="B370" s="22">
        <f>MONTH('cash book - Argenta'!$A370)</f>
        <v>1</v>
      </c>
      <c r="C370" s="23">
        <f t="shared" si="2"/>
        <v>2025</v>
      </c>
      <c r="D370" s="23"/>
      <c r="E370" s="22"/>
      <c r="F370" s="24"/>
      <c r="G370" s="24"/>
      <c r="H370" s="24">
        <f>H369+'cash book - Argenta'!$F370-'cash book - Argenta'!$G370</f>
        <v>5025</v>
      </c>
    </row>
    <row r="371" spans="1:8" ht="33" customHeight="1" x14ac:dyDescent="0.25">
      <c r="A371" s="30">
        <v>45674</v>
      </c>
      <c r="B371" s="22">
        <f>MONTH('cash book - Argenta'!$A371)</f>
        <v>1</v>
      </c>
      <c r="C371" s="23">
        <f t="shared" si="2"/>
        <v>2025</v>
      </c>
      <c r="D371" s="23"/>
      <c r="E371" s="22"/>
      <c r="F371" s="24"/>
      <c r="G371" s="24"/>
      <c r="H371" s="24">
        <f>H370+'cash book - Argenta'!$F371-'cash book - Argenta'!$G371</f>
        <v>5025</v>
      </c>
    </row>
    <row r="372" spans="1:8" ht="34.5" customHeight="1" x14ac:dyDescent="0.25">
      <c r="A372" s="30">
        <v>45675</v>
      </c>
      <c r="B372" s="22">
        <f>MONTH('cash book - Argenta'!$A372)</f>
        <v>1</v>
      </c>
      <c r="C372" s="23">
        <f t="shared" si="2"/>
        <v>2025</v>
      </c>
      <c r="D372" s="23"/>
      <c r="E372" s="22"/>
      <c r="F372" s="24"/>
      <c r="G372" s="24"/>
      <c r="H372" s="24">
        <f>H371+'cash book - Argenta'!$F372-'cash book - Argenta'!$G372</f>
        <v>5025</v>
      </c>
    </row>
    <row r="373" spans="1:8" ht="34.5" customHeight="1" x14ac:dyDescent="0.25">
      <c r="A373" s="30">
        <v>45676</v>
      </c>
      <c r="B373" s="22">
        <f>MONTH('cash book - Argenta'!$A373)</f>
        <v>1</v>
      </c>
      <c r="C373" s="23">
        <f t="shared" si="2"/>
        <v>2025</v>
      </c>
      <c r="D373" s="23"/>
      <c r="E373" s="22"/>
      <c r="F373" s="24"/>
      <c r="G373" s="24"/>
      <c r="H373" s="24">
        <f>H372+'cash book - Argenta'!$F373-'cash book - Argenta'!$G373</f>
        <v>5025</v>
      </c>
    </row>
    <row r="374" spans="1:8" ht="34.5" customHeight="1" x14ac:dyDescent="0.25">
      <c r="A374" s="30">
        <v>45677</v>
      </c>
      <c r="B374" s="22">
        <f>MONTH('cash book - Argenta'!$A374)</f>
        <v>1</v>
      </c>
      <c r="C374" s="23">
        <f t="shared" si="2"/>
        <v>2025</v>
      </c>
      <c r="D374" s="23"/>
      <c r="E374" s="22"/>
      <c r="F374" s="24"/>
      <c r="G374" s="24"/>
      <c r="H374" s="24">
        <f>H373+'cash book - Argenta'!$F374-'cash book - Argenta'!$G374</f>
        <v>5025</v>
      </c>
    </row>
    <row r="375" spans="1:8" ht="33" customHeight="1" x14ac:dyDescent="0.25">
      <c r="A375" s="30">
        <v>45678</v>
      </c>
      <c r="B375" s="22">
        <f>MONTH('cash book - Argenta'!$A375)</f>
        <v>1</v>
      </c>
      <c r="C375" s="23">
        <f t="shared" si="2"/>
        <v>2025</v>
      </c>
      <c r="D375" s="23"/>
      <c r="E375" s="22"/>
      <c r="F375" s="24"/>
      <c r="G375" s="24"/>
      <c r="H375" s="24">
        <f>H374+'cash book - Argenta'!$F375-'cash book - Argenta'!$G375</f>
        <v>5025</v>
      </c>
    </row>
    <row r="376" spans="1:8" ht="34.5" customHeight="1" x14ac:dyDescent="0.25">
      <c r="A376" s="30">
        <v>45679</v>
      </c>
      <c r="B376" s="22">
        <f>MONTH('cash book - Argenta'!$A376)</f>
        <v>1</v>
      </c>
      <c r="C376" s="23">
        <f t="shared" si="2"/>
        <v>2025</v>
      </c>
      <c r="D376" s="23"/>
      <c r="E376" s="22"/>
      <c r="F376" s="24"/>
      <c r="G376" s="24"/>
      <c r="H376" s="24">
        <f>H375+'cash book - Argenta'!$F376-'cash book - Argenta'!$G376</f>
        <v>5025</v>
      </c>
    </row>
    <row r="377" spans="1:8" ht="34.5" customHeight="1" x14ac:dyDescent="0.25">
      <c r="A377" s="30">
        <v>45680</v>
      </c>
      <c r="B377" s="22">
        <f>MONTH('cash book - Argenta'!$A377)</f>
        <v>1</v>
      </c>
      <c r="C377" s="23">
        <f t="shared" si="2"/>
        <v>2025</v>
      </c>
      <c r="D377" s="23"/>
      <c r="E377" s="22"/>
      <c r="F377" s="24"/>
      <c r="G377" s="24"/>
      <c r="H377" s="24">
        <f>H376+'cash book - Argenta'!$F377-'cash book - Argenta'!$G377</f>
        <v>5025</v>
      </c>
    </row>
    <row r="378" spans="1:8" ht="34.5" customHeight="1" x14ac:dyDescent="0.25">
      <c r="A378" s="30">
        <v>45681</v>
      </c>
      <c r="B378" s="22">
        <f>MONTH('cash book - Argenta'!$A378)</f>
        <v>1</v>
      </c>
      <c r="C378" s="23">
        <f t="shared" si="2"/>
        <v>2025</v>
      </c>
      <c r="D378" s="23"/>
      <c r="E378" s="22"/>
      <c r="F378" s="24"/>
      <c r="G378" s="24"/>
      <c r="H378" s="24">
        <f>H377+'cash book - Argenta'!$F378-'cash book - Argenta'!$G378</f>
        <v>5025</v>
      </c>
    </row>
    <row r="379" spans="1:8" ht="33" customHeight="1" x14ac:dyDescent="0.25">
      <c r="A379" s="30">
        <v>45682</v>
      </c>
      <c r="B379" s="22">
        <f>MONTH('cash book - Argenta'!$A379)</f>
        <v>1</v>
      </c>
      <c r="C379" s="23">
        <f t="shared" si="2"/>
        <v>2025</v>
      </c>
      <c r="D379" s="23"/>
      <c r="E379" s="22"/>
      <c r="F379" s="24"/>
      <c r="G379" s="24"/>
      <c r="H379" s="24">
        <f>H378+'cash book - Argenta'!$F379-'cash book - Argenta'!$G379</f>
        <v>5025</v>
      </c>
    </row>
    <row r="380" spans="1:8" ht="34.5" customHeight="1" x14ac:dyDescent="0.25">
      <c r="A380" s="30">
        <v>45683</v>
      </c>
      <c r="B380" s="22">
        <f>MONTH('cash book - Argenta'!$A380)</f>
        <v>1</v>
      </c>
      <c r="C380" s="23">
        <f t="shared" si="2"/>
        <v>2025</v>
      </c>
      <c r="D380" s="23"/>
      <c r="E380" s="22"/>
      <c r="F380" s="24"/>
      <c r="G380" s="24"/>
      <c r="H380" s="24">
        <f>H379+'cash book - Argenta'!$F380-'cash book - Argenta'!$G380</f>
        <v>5025</v>
      </c>
    </row>
    <row r="381" spans="1:8" ht="34.5" customHeight="1" x14ac:dyDescent="0.25">
      <c r="A381" s="30">
        <v>45684</v>
      </c>
      <c r="B381" s="22">
        <f>MONTH('cash book - Argenta'!$A381)</f>
        <v>1</v>
      </c>
      <c r="C381" s="23">
        <f t="shared" si="2"/>
        <v>2025</v>
      </c>
      <c r="D381" s="23"/>
      <c r="E381" s="22"/>
      <c r="F381" s="24"/>
      <c r="G381" s="24"/>
      <c r="H381" s="24">
        <f>H380+'cash book - Argenta'!$F381-'cash book - Argenta'!$G381</f>
        <v>5025</v>
      </c>
    </row>
    <row r="382" spans="1:8" ht="34.5" customHeight="1" x14ac:dyDescent="0.25">
      <c r="A382" s="30">
        <v>45685</v>
      </c>
      <c r="B382" s="22">
        <f>MONTH('cash book - Argenta'!$A382)</f>
        <v>1</v>
      </c>
      <c r="C382" s="23">
        <f t="shared" si="2"/>
        <v>2025</v>
      </c>
      <c r="D382" s="23"/>
      <c r="E382" s="22"/>
      <c r="F382" s="24"/>
      <c r="G382" s="24"/>
      <c r="H382" s="24">
        <f>H381+'cash book - Argenta'!$F382-'cash book - Argenta'!$G382</f>
        <v>5025</v>
      </c>
    </row>
    <row r="383" spans="1:8" ht="34.5" customHeight="1" x14ac:dyDescent="0.25">
      <c r="A383" s="30">
        <v>45686</v>
      </c>
      <c r="B383" s="22">
        <f>MONTH('cash book - Argenta'!$A383)</f>
        <v>1</v>
      </c>
      <c r="C383" s="23">
        <f t="shared" si="2"/>
        <v>2025</v>
      </c>
      <c r="D383" s="23"/>
      <c r="E383" s="22"/>
      <c r="F383" s="24"/>
      <c r="G383" s="24"/>
      <c r="H383" s="24">
        <f>H382+'cash book - Argenta'!$F383-'cash book - Argenta'!$G383</f>
        <v>5025</v>
      </c>
    </row>
    <row r="384" spans="1:8" ht="34.5" customHeight="1" x14ac:dyDescent="0.25">
      <c r="A384" s="30">
        <v>45687</v>
      </c>
      <c r="B384" s="22">
        <f>MONTH('cash book - Argenta'!$A384)</f>
        <v>1</v>
      </c>
      <c r="C384" s="23">
        <f t="shared" si="2"/>
        <v>2025</v>
      </c>
      <c r="D384" s="23"/>
      <c r="E384" s="22"/>
      <c r="F384" s="24"/>
      <c r="G384" s="24"/>
      <c r="H384" s="24">
        <f>H383+'cash book - Argenta'!$F384-'cash book - Argenta'!$G384</f>
        <v>5025</v>
      </c>
    </row>
    <row r="385" spans="1:8" ht="33" customHeight="1" x14ac:dyDescent="0.25">
      <c r="A385" s="30">
        <v>45688</v>
      </c>
      <c r="B385" s="22">
        <f>MONTH('cash book - Argenta'!$A385)</f>
        <v>1</v>
      </c>
      <c r="C385" s="23">
        <f t="shared" si="2"/>
        <v>2025</v>
      </c>
      <c r="D385" s="23"/>
      <c r="E385" s="22"/>
      <c r="F385" s="24"/>
      <c r="G385" s="24"/>
      <c r="H385" s="24">
        <f>H384+'cash book - Argenta'!$F385-'cash book - Argenta'!$G385</f>
        <v>5025</v>
      </c>
    </row>
    <row r="386" spans="1:8" ht="34.5" customHeight="1" x14ac:dyDescent="0.25">
      <c r="A386" s="30">
        <v>45689</v>
      </c>
      <c r="B386" s="22">
        <f>MONTH('cash book - Argenta'!$A386)</f>
        <v>2</v>
      </c>
      <c r="C386" s="23">
        <f t="shared" si="2"/>
        <v>2025</v>
      </c>
      <c r="D386" s="23"/>
      <c r="E386" s="22"/>
      <c r="F386" s="24"/>
      <c r="G386" s="24"/>
      <c r="H386" s="24">
        <f>H385+'cash book - Argenta'!$F386-'cash book - Argenta'!$G386</f>
        <v>5025</v>
      </c>
    </row>
    <row r="387" spans="1:8" ht="34.5" customHeight="1" x14ac:dyDescent="0.25">
      <c r="A387" s="30">
        <v>45690</v>
      </c>
      <c r="B387" s="22">
        <f>MONTH('cash book - Argenta'!$A387)</f>
        <v>2</v>
      </c>
      <c r="C387" s="23">
        <f t="shared" si="2"/>
        <v>2025</v>
      </c>
      <c r="D387" s="23"/>
      <c r="E387" s="22"/>
      <c r="F387" s="24"/>
      <c r="G387" s="24"/>
      <c r="H387" s="24">
        <f>H386+'cash book - Argenta'!$F387-'cash book - Argenta'!$G387</f>
        <v>5025</v>
      </c>
    </row>
    <row r="388" spans="1:8" ht="34.5" customHeight="1" x14ac:dyDescent="0.25">
      <c r="A388" s="30">
        <v>45691</v>
      </c>
      <c r="B388" s="22">
        <f>MONTH('cash book - Argenta'!$A388)</f>
        <v>2</v>
      </c>
      <c r="C388" s="23">
        <f t="shared" si="2"/>
        <v>2025</v>
      </c>
      <c r="D388" s="23"/>
      <c r="E388" s="22"/>
      <c r="F388" s="24"/>
      <c r="G388" s="24"/>
      <c r="H388" s="24">
        <f>H387+'cash book - Argenta'!$F388-'cash book - Argenta'!$G388</f>
        <v>5025</v>
      </c>
    </row>
    <row r="389" spans="1:8" ht="34.5" customHeight="1" x14ac:dyDescent="0.25">
      <c r="A389" s="30">
        <v>45692</v>
      </c>
      <c r="B389" s="22">
        <f>MONTH('cash book - Argenta'!$A389)</f>
        <v>2</v>
      </c>
      <c r="C389" s="23">
        <f t="shared" si="2"/>
        <v>2025</v>
      </c>
      <c r="D389" s="23"/>
      <c r="E389" s="22"/>
      <c r="F389" s="24"/>
      <c r="G389" s="24"/>
      <c r="H389" s="24">
        <f>H388+'cash book - Argenta'!$F389-'cash book - Argenta'!$G389</f>
        <v>5025</v>
      </c>
    </row>
    <row r="390" spans="1:8" ht="34.5" customHeight="1" x14ac:dyDescent="0.25">
      <c r="A390" s="30">
        <v>45693</v>
      </c>
      <c r="B390" s="22">
        <f>MONTH('cash book - Argenta'!$A390)</f>
        <v>2</v>
      </c>
      <c r="C390" s="23">
        <f t="shared" si="2"/>
        <v>2025</v>
      </c>
      <c r="D390" s="23"/>
      <c r="E390" s="22"/>
      <c r="F390" s="24"/>
      <c r="G390" s="24"/>
      <c r="H390" s="24">
        <f>H389+'cash book - Argenta'!$F390-'cash book - Argenta'!$G390</f>
        <v>5025</v>
      </c>
    </row>
    <row r="391" spans="1:8" ht="34.5" customHeight="1" x14ac:dyDescent="0.25">
      <c r="A391" s="30">
        <v>45694</v>
      </c>
      <c r="B391" s="22">
        <f>MONTH('cash book - Argenta'!$A391)</f>
        <v>2</v>
      </c>
      <c r="C391" s="23">
        <f t="shared" si="2"/>
        <v>2025</v>
      </c>
      <c r="D391" s="23"/>
      <c r="E391" s="22"/>
      <c r="F391" s="24"/>
      <c r="G391" s="24"/>
      <c r="H391" s="24">
        <f>H390+'cash book - Argenta'!$F391-'cash book - Argenta'!$G391</f>
        <v>5025</v>
      </c>
    </row>
    <row r="392" spans="1:8" ht="33" customHeight="1" x14ac:dyDescent="0.25">
      <c r="A392" s="30">
        <v>45695</v>
      </c>
      <c r="B392" s="22">
        <f>MONTH('cash book - Argenta'!$A392)</f>
        <v>2</v>
      </c>
      <c r="C392" s="23">
        <f t="shared" si="2"/>
        <v>2025</v>
      </c>
      <c r="D392" s="23"/>
      <c r="E392" s="22"/>
      <c r="F392" s="24"/>
      <c r="G392" s="24"/>
      <c r="H392" s="24">
        <f>H391+'cash book - Argenta'!$F392-'cash book - Argenta'!$G392</f>
        <v>5025</v>
      </c>
    </row>
    <row r="393" spans="1:8" ht="34.5" customHeight="1" x14ac:dyDescent="0.25">
      <c r="A393" s="30">
        <v>45696</v>
      </c>
      <c r="B393" s="22">
        <f>MONTH('cash book - Argenta'!$A393)</f>
        <v>2</v>
      </c>
      <c r="C393" s="23">
        <f t="shared" si="2"/>
        <v>2025</v>
      </c>
      <c r="D393" s="23"/>
      <c r="E393" s="22"/>
      <c r="F393" s="24"/>
      <c r="G393" s="24"/>
      <c r="H393" s="24">
        <f>H392+'cash book - Argenta'!$F393-'cash book - Argenta'!$G393</f>
        <v>5025</v>
      </c>
    </row>
    <row r="394" spans="1:8" ht="34.5" customHeight="1" x14ac:dyDescent="0.25">
      <c r="A394" s="30">
        <v>45697</v>
      </c>
      <c r="B394" s="22">
        <f>MONTH('cash book - Argenta'!$A394)</f>
        <v>2</v>
      </c>
      <c r="C394" s="23">
        <f t="shared" si="2"/>
        <v>2025</v>
      </c>
      <c r="D394" s="23"/>
      <c r="E394" s="22"/>
      <c r="F394" s="24"/>
      <c r="G394" s="24"/>
      <c r="H394" s="24">
        <f>H393+'cash book - Argenta'!$F394-'cash book - Argenta'!$G394</f>
        <v>5025</v>
      </c>
    </row>
    <row r="395" spans="1:8" ht="34.5" customHeight="1" x14ac:dyDescent="0.25">
      <c r="A395" s="30">
        <v>45698</v>
      </c>
      <c r="B395" s="22">
        <f>MONTH('cash book - Argenta'!$A395)</f>
        <v>2</v>
      </c>
      <c r="C395" s="23">
        <f t="shared" si="2"/>
        <v>2025</v>
      </c>
      <c r="D395" s="23"/>
      <c r="E395" s="22"/>
      <c r="F395" s="24"/>
      <c r="G395" s="24"/>
      <c r="H395" s="24">
        <f>H394+'cash book - Argenta'!$F395-'cash book - Argenta'!$G395</f>
        <v>5025</v>
      </c>
    </row>
    <row r="396" spans="1:8" ht="34.5" customHeight="1" x14ac:dyDescent="0.25">
      <c r="A396" s="30"/>
      <c r="B396" s="22">
        <f>MONTH('cash book - Argenta'!$A396)</f>
        <v>1</v>
      </c>
      <c r="C396" s="23">
        <f t="shared" si="2"/>
        <v>1900</v>
      </c>
      <c r="D396" s="23"/>
      <c r="E396" s="22"/>
      <c r="F396" s="24"/>
      <c r="G396" s="24"/>
      <c r="H396" s="24">
        <f>H395+'cash book - Argenta'!$F396-'cash book - Argenta'!$G396</f>
        <v>5025</v>
      </c>
    </row>
    <row r="397" spans="1:8" ht="34.5" customHeight="1" x14ac:dyDescent="0.25">
      <c r="A397" s="30"/>
      <c r="B397" s="22">
        <f>MONTH('cash book - Argenta'!$A397)</f>
        <v>1</v>
      </c>
      <c r="C397" s="23">
        <f t="shared" si="2"/>
        <v>1900</v>
      </c>
      <c r="D397" s="23"/>
      <c r="E397" s="22"/>
      <c r="F397" s="24"/>
      <c r="G397" s="24"/>
      <c r="H397" s="24">
        <f>H396+'cash book - Argenta'!$F397-'cash book - Argenta'!$G397</f>
        <v>5025</v>
      </c>
    </row>
    <row r="398" spans="1:8" ht="33" customHeight="1" x14ac:dyDescent="0.25">
      <c r="A398" s="30"/>
      <c r="B398" s="22">
        <f>MONTH('cash book - Argenta'!$A398)</f>
        <v>1</v>
      </c>
      <c r="C398" s="23">
        <f t="shared" si="2"/>
        <v>1900</v>
      </c>
      <c r="D398" s="23"/>
      <c r="E398" s="22"/>
      <c r="F398" s="24"/>
      <c r="G398" s="24"/>
      <c r="H398" s="24">
        <f>H397+'cash book - Argenta'!$F398-'cash book - Argenta'!$G398</f>
        <v>5025</v>
      </c>
    </row>
    <row r="399" spans="1:8" ht="34.5" customHeight="1" x14ac:dyDescent="0.25">
      <c r="A399" s="30"/>
      <c r="B399" s="22">
        <f>MONTH('cash book - Argenta'!$A399)</f>
        <v>1</v>
      </c>
      <c r="C399" s="23">
        <f t="shared" si="2"/>
        <v>1900</v>
      </c>
      <c r="D399" s="23"/>
      <c r="E399" s="22"/>
      <c r="F399" s="24"/>
      <c r="G399" s="24"/>
      <c r="H399" s="24">
        <f>H398+'cash book - Argenta'!$F399-'cash book - Argenta'!$G399</f>
        <v>5025</v>
      </c>
    </row>
    <row r="400" spans="1:8" ht="33" customHeight="1" x14ac:dyDescent="0.25">
      <c r="A400" s="30"/>
      <c r="B400" s="22">
        <f>MONTH('cash book - Argenta'!$A400)</f>
        <v>1</v>
      </c>
      <c r="C400" s="23">
        <f t="shared" si="2"/>
        <v>1900</v>
      </c>
      <c r="D400" s="23"/>
      <c r="E400" s="22"/>
      <c r="F400" s="24"/>
      <c r="G400" s="24"/>
      <c r="H400" s="24">
        <f>H399+'cash book - Argenta'!$F400-'cash book - Argenta'!$G400</f>
        <v>5025</v>
      </c>
    </row>
    <row r="401" spans="1:8" ht="34.5" customHeight="1" x14ac:dyDescent="0.25">
      <c r="A401" s="30"/>
      <c r="B401" s="22">
        <f>MONTH('cash book - Argenta'!$A401)</f>
        <v>1</v>
      </c>
      <c r="C401" s="23">
        <f t="shared" si="2"/>
        <v>1900</v>
      </c>
      <c r="D401" s="23"/>
      <c r="E401" s="22"/>
      <c r="F401" s="24"/>
      <c r="G401" s="24"/>
      <c r="H401" s="24">
        <f>H400+'cash book - Argenta'!$F401-'cash book - Argenta'!$G401</f>
        <v>5025</v>
      </c>
    </row>
    <row r="402" spans="1:8" ht="34.5" customHeight="1" x14ac:dyDescent="0.25">
      <c r="A402" s="30"/>
      <c r="B402" s="22">
        <f>MONTH('cash book - Argenta'!$A402)</f>
        <v>1</v>
      </c>
      <c r="C402" s="23">
        <f t="shared" si="2"/>
        <v>1900</v>
      </c>
      <c r="D402" s="23"/>
      <c r="E402" s="22"/>
      <c r="F402" s="24"/>
      <c r="G402" s="24"/>
      <c r="H402" s="24">
        <f>H401+'cash book - Argenta'!$F402-'cash book - Argenta'!$G402</f>
        <v>5025</v>
      </c>
    </row>
    <row r="403" spans="1:8" ht="34.5" customHeight="1" x14ac:dyDescent="0.25">
      <c r="A403" s="30"/>
      <c r="B403" s="22">
        <f>MONTH('cash book - Argenta'!$A403)</f>
        <v>1</v>
      </c>
      <c r="C403" s="23">
        <f t="shared" si="2"/>
        <v>1900</v>
      </c>
      <c r="D403" s="23"/>
      <c r="E403" s="22"/>
      <c r="F403" s="24"/>
      <c r="G403" s="24"/>
      <c r="H403" s="24">
        <f>H402+'cash book - Argenta'!$F403-'cash book - Argenta'!$G403</f>
        <v>5025</v>
      </c>
    </row>
    <row r="404" spans="1:8" ht="33" customHeight="1" x14ac:dyDescent="0.25">
      <c r="A404" s="30"/>
      <c r="B404" s="22">
        <f>MONTH('cash book - Argenta'!$A404)</f>
        <v>1</v>
      </c>
      <c r="C404" s="23">
        <f t="shared" si="2"/>
        <v>1900</v>
      </c>
      <c r="D404" s="23"/>
      <c r="E404" s="22"/>
      <c r="F404" s="24"/>
      <c r="G404" s="24"/>
      <c r="H404" s="24">
        <f>H403+'cash book - Argenta'!$F404-'cash book - Argenta'!$G404</f>
        <v>5025</v>
      </c>
    </row>
    <row r="405" spans="1:8" ht="34.5" customHeight="1" x14ac:dyDescent="0.25">
      <c r="A405" s="30"/>
      <c r="B405" s="22">
        <f>MONTH('cash book - Argenta'!$A405)</f>
        <v>1</v>
      </c>
      <c r="C405" s="23">
        <f t="shared" si="2"/>
        <v>1900</v>
      </c>
      <c r="D405" s="23"/>
      <c r="E405" s="22"/>
      <c r="F405" s="24"/>
      <c r="G405" s="24"/>
      <c r="H405" s="24">
        <f>H404+'cash book - Argenta'!$F405-'cash book - Argenta'!$G405</f>
        <v>5025</v>
      </c>
    </row>
    <row r="406" spans="1:8" ht="34.5" customHeight="1" x14ac:dyDescent="0.25">
      <c r="A406" s="30"/>
      <c r="B406" s="22">
        <f>MONTH('cash book - Argenta'!$A406)</f>
        <v>1</v>
      </c>
      <c r="C406" s="23">
        <f t="shared" si="2"/>
        <v>1900</v>
      </c>
      <c r="D406" s="23"/>
      <c r="E406" s="22"/>
      <c r="F406" s="24"/>
      <c r="G406" s="24"/>
      <c r="H406" s="24">
        <f>H405+'cash book - Argenta'!$F406-'cash book - Argenta'!$G406</f>
        <v>5025</v>
      </c>
    </row>
    <row r="407" spans="1:8" ht="34.5" customHeight="1" x14ac:dyDescent="0.25">
      <c r="A407" s="30"/>
      <c r="B407" s="22">
        <f>MONTH('cash book - Argenta'!$A407)</f>
        <v>1</v>
      </c>
      <c r="C407" s="23">
        <f t="shared" si="2"/>
        <v>1900</v>
      </c>
      <c r="D407" s="23"/>
      <c r="E407" s="22"/>
      <c r="F407" s="24"/>
      <c r="G407" s="24"/>
      <c r="H407" s="24">
        <f>H406+'cash book - Argenta'!$F407-'cash book - Argenta'!$G407</f>
        <v>5025</v>
      </c>
    </row>
    <row r="408" spans="1:8" ht="34.5" customHeight="1" x14ac:dyDescent="0.25">
      <c r="A408" s="30"/>
      <c r="B408" s="22">
        <f>MONTH('cash book - Argenta'!$A408)</f>
        <v>1</v>
      </c>
      <c r="C408" s="23">
        <f t="shared" si="2"/>
        <v>1900</v>
      </c>
      <c r="D408" s="23"/>
      <c r="E408" s="22"/>
      <c r="F408" s="24"/>
      <c r="G408" s="24"/>
      <c r="H408" s="24">
        <f>H407+'cash book - Argenta'!$F408-'cash book - Argenta'!$G408</f>
        <v>5025</v>
      </c>
    </row>
    <row r="409" spans="1:8" ht="34.5" customHeight="1" x14ac:dyDescent="0.25">
      <c r="A409" s="30"/>
      <c r="B409" s="22">
        <f>MONTH('cash book - Argenta'!$A409)</f>
        <v>1</v>
      </c>
      <c r="C409" s="23">
        <f t="shared" si="2"/>
        <v>1900</v>
      </c>
      <c r="D409" s="23"/>
      <c r="E409" s="22"/>
      <c r="F409" s="24"/>
      <c r="G409" s="24"/>
      <c r="H409" s="24">
        <f>H408+'cash book - Argenta'!$F409-'cash book - Argenta'!$G409</f>
        <v>5025</v>
      </c>
    </row>
    <row r="410" spans="1:8" ht="33" customHeight="1" x14ac:dyDescent="0.25">
      <c r="A410" s="30"/>
      <c r="B410" s="22">
        <f>MONTH('cash book - Argenta'!$A410)</f>
        <v>1</v>
      </c>
      <c r="C410" s="23">
        <f t="shared" si="2"/>
        <v>1900</v>
      </c>
      <c r="D410" s="23"/>
      <c r="E410" s="22"/>
      <c r="F410" s="24"/>
      <c r="G410" s="24"/>
      <c r="H410" s="24">
        <f>H409+'cash book - Argenta'!$F410-'cash book - Argenta'!$G410</f>
        <v>5025</v>
      </c>
    </row>
    <row r="411" spans="1:8" ht="34.5" customHeight="1" x14ac:dyDescent="0.25">
      <c r="A411" s="30"/>
      <c r="B411" s="22">
        <f>MONTH('cash book - Argenta'!$A411)</f>
        <v>1</v>
      </c>
      <c r="C411" s="23">
        <f t="shared" si="2"/>
        <v>1900</v>
      </c>
      <c r="D411" s="23"/>
      <c r="E411" s="22"/>
      <c r="F411" s="24"/>
      <c r="G411" s="24"/>
      <c r="H411" s="24">
        <f>H410+'cash book - Argenta'!$F411-'cash book - Argenta'!$G411</f>
        <v>5025</v>
      </c>
    </row>
    <row r="412" spans="1:8" ht="34.5" customHeight="1" x14ac:dyDescent="0.25">
      <c r="A412" s="30"/>
      <c r="B412" s="22">
        <f>MONTH('cash book - Argenta'!$A412)</f>
        <v>1</v>
      </c>
      <c r="C412" s="23">
        <f t="shared" si="2"/>
        <v>1900</v>
      </c>
      <c r="D412" s="23"/>
      <c r="E412" s="22"/>
      <c r="F412" s="24"/>
      <c r="G412" s="24"/>
      <c r="H412" s="24">
        <f>H411+'cash book - Argenta'!$F412-'cash book - Argenta'!$G412</f>
        <v>5025</v>
      </c>
    </row>
    <row r="413" spans="1:8" ht="34.5" customHeight="1" x14ac:dyDescent="0.25">
      <c r="A413" s="30"/>
      <c r="B413" s="22">
        <f>MONTH('cash book - Argenta'!$A413)</f>
        <v>1</v>
      </c>
      <c r="C413" s="23">
        <f t="shared" si="2"/>
        <v>1900</v>
      </c>
      <c r="D413" s="23"/>
      <c r="E413" s="22"/>
      <c r="F413" s="24"/>
      <c r="G413" s="24"/>
      <c r="H413" s="24">
        <f>H412+'cash book - Argenta'!$F413-'cash book - Argenta'!$G413</f>
        <v>5025</v>
      </c>
    </row>
    <row r="414" spans="1:8" ht="34.5" customHeight="1" x14ac:dyDescent="0.25">
      <c r="A414" s="30"/>
      <c r="B414" s="22">
        <f>MONTH('cash book - Argenta'!$A414)</f>
        <v>1</v>
      </c>
      <c r="C414" s="23">
        <f t="shared" si="2"/>
        <v>1900</v>
      </c>
      <c r="D414" s="23"/>
      <c r="E414" s="22"/>
      <c r="F414" s="24"/>
      <c r="G414" s="24"/>
      <c r="H414" s="24">
        <f>H413+'cash book - Argenta'!$F414-'cash book - Argenta'!$G414</f>
        <v>5025</v>
      </c>
    </row>
    <row r="415" spans="1:8" ht="34.5" customHeight="1" x14ac:dyDescent="0.25">
      <c r="A415" s="30"/>
      <c r="B415" s="22">
        <f>MONTH('cash book - Argenta'!$A415)</f>
        <v>1</v>
      </c>
      <c r="C415" s="23">
        <f t="shared" si="2"/>
        <v>1900</v>
      </c>
      <c r="D415" s="23"/>
      <c r="E415" s="22"/>
      <c r="F415" s="24"/>
      <c r="G415" s="24"/>
      <c r="H415" s="24">
        <f>H414+'cash book - Argenta'!$F415-'cash book - Argenta'!$G415</f>
        <v>5025</v>
      </c>
    </row>
    <row r="416" spans="1:8" ht="34.5" customHeight="1" x14ac:dyDescent="0.25">
      <c r="A416" s="30"/>
      <c r="B416" s="22">
        <f>MONTH('cash book - Argenta'!$A416)</f>
        <v>1</v>
      </c>
      <c r="C416" s="23">
        <f t="shared" si="2"/>
        <v>1900</v>
      </c>
      <c r="D416" s="23"/>
      <c r="E416" s="22"/>
      <c r="F416" s="24"/>
      <c r="G416" s="24"/>
      <c r="H416" s="24">
        <f>H415+'cash book - Argenta'!$F416-'cash book - Argenta'!$G416</f>
        <v>5025</v>
      </c>
    </row>
    <row r="417" spans="1:8" ht="33" customHeight="1" x14ac:dyDescent="0.25">
      <c r="A417" s="30"/>
      <c r="B417" s="22">
        <f>MONTH('cash book - Argenta'!$A417)</f>
        <v>1</v>
      </c>
      <c r="C417" s="23">
        <f t="shared" si="2"/>
        <v>1900</v>
      </c>
      <c r="D417" s="23"/>
      <c r="E417" s="22"/>
      <c r="F417" s="24"/>
      <c r="G417" s="24"/>
      <c r="H417" s="24">
        <f>H416+'cash book - Argenta'!$F417-'cash book - Argenta'!$G417</f>
        <v>5025</v>
      </c>
    </row>
    <row r="418" spans="1:8" ht="34.5" customHeight="1" x14ac:dyDescent="0.25">
      <c r="A418" s="30"/>
      <c r="B418" s="22">
        <f>MONTH('cash book - Argenta'!$A418)</f>
        <v>1</v>
      </c>
      <c r="C418" s="23">
        <f t="shared" si="2"/>
        <v>1900</v>
      </c>
      <c r="D418" s="23"/>
      <c r="E418" s="22"/>
      <c r="F418" s="24"/>
      <c r="G418" s="24"/>
      <c r="H418" s="24">
        <f>H417+'cash book - Argenta'!$F418-'cash book - Argenta'!$G418</f>
        <v>5025</v>
      </c>
    </row>
    <row r="419" spans="1:8" ht="34.5" customHeight="1" x14ac:dyDescent="0.25">
      <c r="A419" s="30"/>
      <c r="B419" s="22">
        <f>MONTH('cash book - Argenta'!$A419)</f>
        <v>1</v>
      </c>
      <c r="C419" s="23">
        <f t="shared" si="2"/>
        <v>1900</v>
      </c>
      <c r="D419" s="23"/>
      <c r="E419" s="22"/>
      <c r="F419" s="24"/>
      <c r="G419" s="24"/>
      <c r="H419" s="24">
        <f>H418+'cash book - Argenta'!$F419-'cash book - Argenta'!$G419</f>
        <v>5025</v>
      </c>
    </row>
    <row r="420" spans="1:8" ht="34.5" customHeight="1" x14ac:dyDescent="0.25">
      <c r="A420" s="30"/>
      <c r="B420" s="22">
        <f>MONTH('cash book - Argenta'!$A420)</f>
        <v>1</v>
      </c>
      <c r="C420" s="23">
        <f t="shared" si="2"/>
        <v>1900</v>
      </c>
      <c r="D420" s="23"/>
      <c r="E420" s="22"/>
      <c r="F420" s="24"/>
      <c r="G420" s="24"/>
      <c r="H420" s="24">
        <f>H419+'cash book - Argenta'!$F420-'cash book - Argenta'!$G420</f>
        <v>5025</v>
      </c>
    </row>
    <row r="421" spans="1:8" ht="34.5" customHeight="1" x14ac:dyDescent="0.25">
      <c r="A421" s="30"/>
      <c r="B421" s="22">
        <f>MONTH('cash book - Argenta'!$A421)</f>
        <v>1</v>
      </c>
      <c r="C421" s="23">
        <f t="shared" si="2"/>
        <v>1900</v>
      </c>
      <c r="D421" s="23"/>
      <c r="E421" s="22"/>
      <c r="F421" s="24"/>
      <c r="G421" s="24"/>
      <c r="H421" s="24">
        <f>H420+'cash book - Argenta'!$F421-'cash book - Argenta'!$G421</f>
        <v>5025</v>
      </c>
    </row>
    <row r="422" spans="1:8" ht="34.5" customHeight="1" x14ac:dyDescent="0.25">
      <c r="A422" s="30"/>
      <c r="B422" s="22">
        <f>MONTH('cash book - Argenta'!$A422)</f>
        <v>1</v>
      </c>
      <c r="C422" s="23">
        <f t="shared" si="2"/>
        <v>1900</v>
      </c>
      <c r="D422" s="23"/>
      <c r="E422" s="22"/>
      <c r="F422" s="24"/>
      <c r="G422" s="24"/>
      <c r="H422" s="24">
        <f>H421+'cash book - Argenta'!$F422-'cash book - Argenta'!$G422</f>
        <v>5025</v>
      </c>
    </row>
    <row r="423" spans="1:8" ht="33" customHeight="1" x14ac:dyDescent="0.25">
      <c r="A423" s="30"/>
      <c r="B423" s="22">
        <f>MONTH('cash book - Argenta'!$A423)</f>
        <v>1</v>
      </c>
      <c r="C423" s="23">
        <f t="shared" si="2"/>
        <v>1900</v>
      </c>
      <c r="D423" s="23"/>
      <c r="E423" s="22"/>
      <c r="F423" s="24"/>
      <c r="G423" s="24"/>
      <c r="H423" s="24">
        <f>H422+'cash book - Argenta'!$F423-'cash book - Argenta'!$G423</f>
        <v>5025</v>
      </c>
    </row>
    <row r="424" spans="1:8" ht="34.5" customHeight="1" x14ac:dyDescent="0.25">
      <c r="A424" s="30"/>
      <c r="B424" s="22">
        <f>MONTH('cash book - Argenta'!$A424)</f>
        <v>1</v>
      </c>
      <c r="C424" s="23">
        <f t="shared" si="2"/>
        <v>1900</v>
      </c>
      <c r="D424" s="23"/>
      <c r="E424" s="22"/>
      <c r="F424" s="24"/>
      <c r="G424" s="24"/>
      <c r="H424" s="24">
        <f>H423+'cash book - Argenta'!$F424-'cash book - Argenta'!$G424</f>
        <v>5025</v>
      </c>
    </row>
    <row r="425" spans="1:8" ht="34.5" customHeight="1" x14ac:dyDescent="0.25">
      <c r="A425" s="30"/>
      <c r="B425" s="22">
        <f>MONTH('cash book - Argenta'!$A425)</f>
        <v>1</v>
      </c>
      <c r="C425" s="23">
        <f t="shared" si="2"/>
        <v>1900</v>
      </c>
      <c r="D425" s="23"/>
      <c r="E425" s="22"/>
      <c r="F425" s="24"/>
      <c r="G425" s="24"/>
      <c r="H425" s="24">
        <f>H424+'cash book - Argenta'!$F425-'cash book - Argenta'!$G425</f>
        <v>5025</v>
      </c>
    </row>
    <row r="426" spans="1:8" ht="34.5" customHeight="1" x14ac:dyDescent="0.25">
      <c r="A426" s="30"/>
      <c r="B426" s="22">
        <f>MONTH('cash book - Argenta'!$A426)</f>
        <v>1</v>
      </c>
      <c r="C426" s="23">
        <f t="shared" si="2"/>
        <v>1900</v>
      </c>
      <c r="D426" s="23"/>
      <c r="E426" s="22"/>
      <c r="F426" s="24"/>
      <c r="G426" s="24"/>
      <c r="H426" s="24">
        <f>H425+'cash book - Argenta'!$F426-'cash book - Argenta'!$G426</f>
        <v>5025</v>
      </c>
    </row>
    <row r="427" spans="1:8" ht="33" customHeight="1" x14ac:dyDescent="0.25">
      <c r="A427" s="30"/>
      <c r="B427" s="22">
        <f>MONTH('cash book - Argenta'!$A427)</f>
        <v>1</v>
      </c>
      <c r="C427" s="23">
        <f t="shared" si="2"/>
        <v>1900</v>
      </c>
      <c r="D427" s="23"/>
      <c r="E427" s="22"/>
      <c r="F427" s="24"/>
      <c r="G427" s="24"/>
      <c r="H427" s="24">
        <f>H426+'cash book - Argenta'!$F427-'cash book - Argenta'!$G427</f>
        <v>5025</v>
      </c>
    </row>
    <row r="428" spans="1:8" ht="34.5" customHeight="1" x14ac:dyDescent="0.25">
      <c r="A428" s="30"/>
      <c r="B428" s="22">
        <f>MONTH('cash book - Argenta'!$A428)</f>
        <v>1</v>
      </c>
      <c r="C428" s="23">
        <f t="shared" si="2"/>
        <v>1900</v>
      </c>
      <c r="D428" s="23"/>
      <c r="E428" s="22"/>
      <c r="F428" s="24"/>
      <c r="G428" s="24"/>
      <c r="H428" s="24">
        <f>H427+'cash book - Argenta'!$F428-'cash book - Argenta'!$G428</f>
        <v>5025</v>
      </c>
    </row>
    <row r="429" spans="1:8" ht="34.5" customHeight="1" x14ac:dyDescent="0.25">
      <c r="A429" s="30"/>
      <c r="B429" s="22">
        <f>MONTH('cash book - Argenta'!$A429)</f>
        <v>1</v>
      </c>
      <c r="C429" s="23">
        <f t="shared" si="2"/>
        <v>1900</v>
      </c>
      <c r="D429" s="23"/>
      <c r="E429" s="22"/>
      <c r="F429" s="24"/>
      <c r="G429" s="24"/>
      <c r="H429" s="24">
        <f>H428+'cash book - Argenta'!$F429-'cash book - Argenta'!$G429</f>
        <v>5025</v>
      </c>
    </row>
    <row r="430" spans="1:8" ht="34.5" customHeight="1" x14ac:dyDescent="0.25">
      <c r="A430" s="30"/>
      <c r="B430" s="22">
        <f>MONTH('cash book - Argenta'!$A430)</f>
        <v>1</v>
      </c>
      <c r="C430" s="23">
        <f t="shared" si="2"/>
        <v>1900</v>
      </c>
      <c r="D430" s="23"/>
      <c r="E430" s="22"/>
      <c r="F430" s="24"/>
      <c r="G430" s="24"/>
      <c r="H430" s="24">
        <f>H429+'cash book - Argenta'!$F430-'cash book - Argenta'!$G430</f>
        <v>5025</v>
      </c>
    </row>
    <row r="431" spans="1:8" ht="33" customHeight="1" x14ac:dyDescent="0.25">
      <c r="A431" s="30"/>
      <c r="B431" s="22">
        <f>MONTH('cash book - Argenta'!$A431)</f>
        <v>1</v>
      </c>
      <c r="C431" s="23">
        <f t="shared" si="2"/>
        <v>1900</v>
      </c>
      <c r="D431" s="23"/>
      <c r="E431" s="22"/>
      <c r="F431" s="24"/>
      <c r="G431" s="24"/>
      <c r="H431" s="24">
        <f>H430+'cash book - Argenta'!$F431-'cash book - Argenta'!$G431</f>
        <v>5025</v>
      </c>
    </row>
    <row r="432" spans="1:8" ht="34.5" customHeight="1" x14ac:dyDescent="0.25">
      <c r="A432" s="30"/>
      <c r="B432" s="22">
        <f>MONTH('cash book - Argenta'!$A432)</f>
        <v>1</v>
      </c>
      <c r="C432" s="23">
        <f t="shared" si="2"/>
        <v>1900</v>
      </c>
      <c r="D432" s="23"/>
      <c r="E432" s="22"/>
      <c r="F432" s="24"/>
      <c r="G432" s="24"/>
      <c r="H432" s="24">
        <f>H431+'cash book - Argenta'!$F432-'cash book - Argenta'!$G432</f>
        <v>5025</v>
      </c>
    </row>
    <row r="433" spans="1:8" ht="34.5" customHeight="1" x14ac:dyDescent="0.25">
      <c r="A433" s="30"/>
      <c r="B433" s="22">
        <f>MONTH('cash book - Argenta'!$A433)</f>
        <v>1</v>
      </c>
      <c r="C433" s="23">
        <f t="shared" si="2"/>
        <v>1900</v>
      </c>
      <c r="D433" s="23"/>
      <c r="E433" s="22"/>
      <c r="F433" s="24"/>
      <c r="G433" s="24"/>
      <c r="H433" s="24">
        <f>H432+'cash book - Argenta'!$F433-'cash book - Argenta'!$G433</f>
        <v>5025</v>
      </c>
    </row>
    <row r="434" spans="1:8" ht="34.5" customHeight="1" x14ac:dyDescent="0.25">
      <c r="A434" s="30"/>
      <c r="B434" s="22">
        <f>MONTH('cash book - Argenta'!$A434)</f>
        <v>1</v>
      </c>
      <c r="C434" s="23">
        <f t="shared" si="2"/>
        <v>1900</v>
      </c>
      <c r="D434" s="23"/>
      <c r="E434" s="22"/>
      <c r="F434" s="24"/>
      <c r="G434" s="24"/>
      <c r="H434" s="24">
        <f>H433+'cash book - Argenta'!$F434-'cash book - Argenta'!$G434</f>
        <v>5025</v>
      </c>
    </row>
    <row r="435" spans="1:8" ht="34.5" customHeight="1" x14ac:dyDescent="0.25">
      <c r="A435" s="30"/>
      <c r="B435" s="22">
        <f>MONTH('cash book - Argenta'!$A435)</f>
        <v>1</v>
      </c>
      <c r="C435" s="23">
        <f t="shared" si="2"/>
        <v>1900</v>
      </c>
      <c r="D435" s="23"/>
      <c r="E435" s="22"/>
      <c r="F435" s="24"/>
      <c r="G435" s="24"/>
      <c r="H435" s="24">
        <f>H434+'cash book - Argenta'!$F435-'cash book - Argenta'!$G435</f>
        <v>5025</v>
      </c>
    </row>
    <row r="436" spans="1:8" ht="34.5" customHeight="1" x14ac:dyDescent="0.25">
      <c r="A436" s="30"/>
      <c r="B436" s="22">
        <f>MONTH('cash book - Argenta'!$A436)</f>
        <v>1</v>
      </c>
      <c r="C436" s="23">
        <f t="shared" si="2"/>
        <v>1900</v>
      </c>
      <c r="D436" s="23"/>
      <c r="E436" s="22"/>
      <c r="F436" s="24"/>
      <c r="G436" s="24"/>
      <c r="H436" s="24">
        <f>H435+'cash book - Argenta'!$F436-'cash book - Argenta'!$G436</f>
        <v>5025</v>
      </c>
    </row>
    <row r="437" spans="1:8" ht="33" customHeight="1" x14ac:dyDescent="0.25">
      <c r="A437" s="30"/>
      <c r="B437" s="22">
        <f>MONTH('cash book - Argenta'!$A437)</f>
        <v>1</v>
      </c>
      <c r="C437" s="23">
        <f t="shared" si="2"/>
        <v>1900</v>
      </c>
      <c r="D437" s="23"/>
      <c r="E437" s="22"/>
      <c r="F437" s="24"/>
      <c r="G437" s="24"/>
      <c r="H437" s="24">
        <f>H436+'cash book - Argenta'!$F437-'cash book - Argenta'!$G437</f>
        <v>5025</v>
      </c>
    </row>
    <row r="438" spans="1:8" ht="34.5" customHeight="1" x14ac:dyDescent="0.25">
      <c r="A438" s="30"/>
      <c r="B438" s="22">
        <f>MONTH('cash book - Argenta'!$A438)</f>
        <v>1</v>
      </c>
      <c r="C438" s="23">
        <f t="shared" si="2"/>
        <v>1900</v>
      </c>
      <c r="D438" s="23"/>
      <c r="E438" s="22"/>
      <c r="F438" s="24"/>
      <c r="G438" s="24"/>
      <c r="H438" s="24">
        <f>H437+'cash book - Argenta'!$F438-'cash book - Argenta'!$G438</f>
        <v>5025</v>
      </c>
    </row>
    <row r="439" spans="1:8" ht="34.5" customHeight="1" x14ac:dyDescent="0.25">
      <c r="A439" s="30"/>
      <c r="B439" s="22">
        <f>MONTH('cash book - Argenta'!$A439)</f>
        <v>1</v>
      </c>
      <c r="C439" s="23">
        <f t="shared" si="2"/>
        <v>1900</v>
      </c>
      <c r="D439" s="23"/>
      <c r="E439" s="22"/>
      <c r="F439" s="24"/>
      <c r="G439" s="24"/>
      <c r="H439" s="24">
        <f>H438+'cash book - Argenta'!$F439-'cash book - Argenta'!$G439</f>
        <v>5025</v>
      </c>
    </row>
    <row r="440" spans="1:8" ht="34.5" customHeight="1" x14ac:dyDescent="0.25">
      <c r="A440" s="30"/>
      <c r="B440" s="22">
        <f>MONTH('cash book - Argenta'!$A440)</f>
        <v>1</v>
      </c>
      <c r="C440" s="23">
        <f t="shared" si="2"/>
        <v>1900</v>
      </c>
      <c r="D440" s="23"/>
      <c r="E440" s="22"/>
      <c r="F440" s="24"/>
      <c r="G440" s="24"/>
      <c r="H440" s="24">
        <f>H439+'cash book - Argenta'!$F440-'cash book - Argenta'!$G440</f>
        <v>5025</v>
      </c>
    </row>
    <row r="441" spans="1:8" ht="34.5" customHeight="1" x14ac:dyDescent="0.25">
      <c r="A441" s="30"/>
      <c r="B441" s="22">
        <f>MONTH('cash book - Argenta'!$A441)</f>
        <v>1</v>
      </c>
      <c r="C441" s="23">
        <f t="shared" si="2"/>
        <v>1900</v>
      </c>
      <c r="D441" s="23"/>
      <c r="E441" s="22"/>
      <c r="F441" s="24"/>
      <c r="G441" s="24"/>
      <c r="H441" s="24">
        <f>H440+'cash book - Argenta'!$F441-'cash book - Argenta'!$G441</f>
        <v>5025</v>
      </c>
    </row>
    <row r="442" spans="1:8" ht="34.5" customHeight="1" x14ac:dyDescent="0.25">
      <c r="A442" s="30"/>
      <c r="B442" s="22">
        <f>MONTH('cash book - Argenta'!$A442)</f>
        <v>1</v>
      </c>
      <c r="C442" s="23">
        <f t="shared" si="2"/>
        <v>1900</v>
      </c>
      <c r="D442" s="23"/>
      <c r="E442" s="22"/>
      <c r="F442" s="24"/>
      <c r="G442" s="24"/>
      <c r="H442" s="24">
        <f>H441+'cash book - Argenta'!$F442-'cash book - Argenta'!$G442</f>
        <v>5025</v>
      </c>
    </row>
    <row r="443" spans="1:8" ht="34.5" customHeight="1" x14ac:dyDescent="0.25">
      <c r="A443" s="30"/>
      <c r="B443" s="22">
        <f>MONTH('cash book - Argenta'!$A443)</f>
        <v>1</v>
      </c>
      <c r="C443" s="23">
        <f t="shared" si="2"/>
        <v>1900</v>
      </c>
      <c r="D443" s="23"/>
      <c r="E443" s="22"/>
      <c r="F443" s="24"/>
      <c r="G443" s="24"/>
      <c r="H443" s="24">
        <f>H442+'cash book - Argenta'!$F443-'cash book - Argenta'!$G443</f>
        <v>5025</v>
      </c>
    </row>
    <row r="444" spans="1:8" ht="33" customHeight="1" x14ac:dyDescent="0.25">
      <c r="A444" s="30"/>
      <c r="B444" s="22">
        <f>MONTH('cash book - Argenta'!$A444)</f>
        <v>1</v>
      </c>
      <c r="C444" s="23">
        <f t="shared" si="2"/>
        <v>1900</v>
      </c>
      <c r="D444" s="23"/>
      <c r="E444" s="22"/>
      <c r="F444" s="24"/>
      <c r="G444" s="24"/>
      <c r="H444" s="24">
        <f>H443+'cash book - Argenta'!$F444-'cash book - Argenta'!$G444</f>
        <v>5025</v>
      </c>
    </row>
    <row r="445" spans="1:8" ht="34.5" customHeight="1" x14ac:dyDescent="0.25">
      <c r="A445" s="30"/>
      <c r="B445" s="22">
        <f>MONTH('cash book - Argenta'!$A445)</f>
        <v>1</v>
      </c>
      <c r="C445" s="23">
        <f t="shared" si="2"/>
        <v>1900</v>
      </c>
      <c r="D445" s="23"/>
      <c r="E445" s="22"/>
      <c r="F445" s="24"/>
      <c r="G445" s="24"/>
      <c r="H445" s="24">
        <f>H444+'cash book - Argenta'!$F445-'cash book - Argenta'!$G445</f>
        <v>5025</v>
      </c>
    </row>
    <row r="446" spans="1:8" ht="34.5" customHeight="1" x14ac:dyDescent="0.25">
      <c r="A446" s="30"/>
      <c r="B446" s="22">
        <f>MONTH('cash book - Argenta'!$A446)</f>
        <v>1</v>
      </c>
      <c r="C446" s="23">
        <f t="shared" si="2"/>
        <v>1900</v>
      </c>
      <c r="D446" s="23"/>
      <c r="E446" s="22"/>
      <c r="F446" s="24"/>
      <c r="G446" s="24"/>
      <c r="H446" s="24">
        <f>H445+'cash book - Argenta'!$F446-'cash book - Argenta'!$G446</f>
        <v>5025</v>
      </c>
    </row>
    <row r="447" spans="1:8" ht="34.5" customHeight="1" x14ac:dyDescent="0.25">
      <c r="A447" s="30"/>
      <c r="B447" s="22">
        <f>MONTH('cash book - Argenta'!$A447)</f>
        <v>1</v>
      </c>
      <c r="C447" s="23">
        <f t="shared" si="2"/>
        <v>1900</v>
      </c>
      <c r="D447" s="23"/>
      <c r="E447" s="22"/>
      <c r="F447" s="24"/>
      <c r="G447" s="24"/>
      <c r="H447" s="24">
        <f>H446+'cash book - Argenta'!$F447-'cash book - Argenta'!$G447</f>
        <v>5025</v>
      </c>
    </row>
    <row r="448" spans="1:8" ht="34.5" customHeight="1" x14ac:dyDescent="0.25">
      <c r="A448" s="30"/>
      <c r="B448" s="22">
        <f>MONTH('cash book - Argenta'!$A448)</f>
        <v>1</v>
      </c>
      <c r="C448" s="23">
        <f t="shared" si="2"/>
        <v>1900</v>
      </c>
      <c r="D448" s="23"/>
      <c r="E448" s="22"/>
      <c r="F448" s="24"/>
      <c r="G448" s="24"/>
      <c r="H448" s="24">
        <f>H447+'cash book - Argenta'!$F448-'cash book - Argenta'!$G448</f>
        <v>5025</v>
      </c>
    </row>
    <row r="449" spans="1:8" ht="34.5" customHeight="1" x14ac:dyDescent="0.25">
      <c r="A449" s="30"/>
      <c r="B449" s="22">
        <f>MONTH('cash book - Argenta'!$A449)</f>
        <v>1</v>
      </c>
      <c r="C449" s="23">
        <f t="shared" si="2"/>
        <v>1900</v>
      </c>
      <c r="D449" s="23"/>
      <c r="E449" s="22"/>
      <c r="F449" s="24"/>
      <c r="G449" s="24"/>
      <c r="H449" s="24">
        <f>H448+'cash book - Argenta'!$F449-'cash book - Argenta'!$G449</f>
        <v>5025</v>
      </c>
    </row>
    <row r="450" spans="1:8" ht="33" customHeight="1" x14ac:dyDescent="0.25">
      <c r="A450" s="30"/>
      <c r="B450" s="22">
        <f>MONTH('cash book - Argenta'!$A450)</f>
        <v>1</v>
      </c>
      <c r="C450" s="23">
        <f t="shared" si="2"/>
        <v>1900</v>
      </c>
      <c r="D450" s="23"/>
      <c r="E450" s="22"/>
      <c r="F450" s="24"/>
      <c r="G450" s="24"/>
      <c r="H450" s="24">
        <f>H449+'cash book - Argenta'!$F450-'cash book - Argenta'!$G450</f>
        <v>5025</v>
      </c>
    </row>
    <row r="451" spans="1:8" ht="34.5" customHeight="1" x14ac:dyDescent="0.25">
      <c r="A451" s="30"/>
      <c r="B451" s="22">
        <f>MONTH('cash book - Argenta'!$A451)</f>
        <v>1</v>
      </c>
      <c r="C451" s="23">
        <f t="shared" si="2"/>
        <v>1900</v>
      </c>
      <c r="D451" s="23"/>
      <c r="E451" s="22"/>
      <c r="F451" s="24"/>
      <c r="G451" s="24"/>
      <c r="H451" s="24">
        <f>H450+'cash book - Argenta'!$F451-'cash book - Argenta'!$G451</f>
        <v>5025</v>
      </c>
    </row>
    <row r="452" spans="1:8" ht="33" customHeight="1" x14ac:dyDescent="0.25">
      <c r="A452" s="30"/>
      <c r="B452" s="22">
        <f>MONTH('cash book - Argenta'!$A452)</f>
        <v>1</v>
      </c>
      <c r="C452" s="23">
        <f t="shared" si="2"/>
        <v>1900</v>
      </c>
      <c r="D452" s="23"/>
      <c r="E452" s="22"/>
      <c r="F452" s="24"/>
      <c r="G452" s="24"/>
      <c r="H452" s="24">
        <f>H451+'cash book - Argenta'!$F452-'cash book - Argenta'!$G452</f>
        <v>5025</v>
      </c>
    </row>
    <row r="453" spans="1:8" ht="34.5" customHeight="1" x14ac:dyDescent="0.25">
      <c r="A453" s="30"/>
      <c r="B453" s="22">
        <f>MONTH('cash book - Argenta'!$A453)</f>
        <v>1</v>
      </c>
      <c r="C453" s="23">
        <f t="shared" si="2"/>
        <v>1900</v>
      </c>
      <c r="D453" s="23"/>
      <c r="E453" s="22"/>
      <c r="F453" s="24"/>
      <c r="G453" s="24"/>
      <c r="H453" s="24">
        <f>H452+'cash book - Argenta'!$F453-'cash book - Argenta'!$G453</f>
        <v>5025</v>
      </c>
    </row>
    <row r="454" spans="1:8" ht="34.5" customHeight="1" x14ac:dyDescent="0.25">
      <c r="A454" s="30"/>
      <c r="B454" s="22">
        <f>MONTH('cash book - Argenta'!$A454)</f>
        <v>1</v>
      </c>
      <c r="C454" s="23">
        <f t="shared" si="2"/>
        <v>1900</v>
      </c>
      <c r="D454" s="23"/>
      <c r="E454" s="22"/>
      <c r="F454" s="24"/>
      <c r="G454" s="24"/>
      <c r="H454" s="24">
        <f>H453+'cash book - Argenta'!$F454-'cash book - Argenta'!$G454</f>
        <v>5025</v>
      </c>
    </row>
    <row r="455" spans="1:8" ht="34.5" customHeight="1" x14ac:dyDescent="0.25">
      <c r="A455" s="30"/>
      <c r="B455" s="22">
        <f>MONTH('cash book - Argenta'!$A455)</f>
        <v>1</v>
      </c>
      <c r="C455" s="23">
        <f t="shared" si="2"/>
        <v>1900</v>
      </c>
      <c r="D455" s="23"/>
      <c r="E455" s="22"/>
      <c r="F455" s="24"/>
      <c r="G455" s="24"/>
      <c r="H455" s="24">
        <f>H454+'cash book - Argenta'!$F455-'cash book - Argenta'!$G455</f>
        <v>5025</v>
      </c>
    </row>
    <row r="456" spans="1:8" ht="33" customHeight="1" x14ac:dyDescent="0.25">
      <c r="A456" s="30"/>
      <c r="B456" s="22">
        <f>MONTH('cash book - Argenta'!$A456)</f>
        <v>1</v>
      </c>
      <c r="C456" s="23">
        <f t="shared" si="2"/>
        <v>1900</v>
      </c>
      <c r="D456" s="23"/>
      <c r="E456" s="22"/>
      <c r="F456" s="24"/>
      <c r="G456" s="24"/>
      <c r="H456" s="24">
        <f>H455+'cash book - Argenta'!$F456-'cash book - Argenta'!$G456</f>
        <v>5025</v>
      </c>
    </row>
    <row r="457" spans="1:8" ht="34.5" customHeight="1" x14ac:dyDescent="0.25">
      <c r="A457" s="30"/>
      <c r="B457" s="22">
        <f>MONTH('cash book - Argenta'!$A457)</f>
        <v>1</v>
      </c>
      <c r="C457" s="23">
        <f t="shared" si="2"/>
        <v>1900</v>
      </c>
      <c r="D457" s="23"/>
      <c r="E457" s="22"/>
      <c r="F457" s="24"/>
      <c r="G457" s="24"/>
      <c r="H457" s="24">
        <f>H456+'cash book - Argenta'!$F457-'cash book - Argenta'!$G457</f>
        <v>5025</v>
      </c>
    </row>
    <row r="458" spans="1:8" ht="34.5" customHeight="1" x14ac:dyDescent="0.25">
      <c r="A458" s="30"/>
      <c r="B458" s="22">
        <f>MONTH('cash book - Argenta'!$A458)</f>
        <v>1</v>
      </c>
      <c r="C458" s="23">
        <f t="shared" si="2"/>
        <v>1900</v>
      </c>
      <c r="D458" s="23"/>
      <c r="E458" s="22"/>
      <c r="F458" s="24"/>
      <c r="G458" s="24"/>
      <c r="H458" s="24">
        <f>H457+'cash book - Argenta'!$F458-'cash book - Argenta'!$G458</f>
        <v>5025</v>
      </c>
    </row>
    <row r="459" spans="1:8" ht="34.5" customHeight="1" x14ac:dyDescent="0.25">
      <c r="A459" s="30"/>
      <c r="B459" s="22">
        <f>MONTH('cash book - Argenta'!$A459)</f>
        <v>1</v>
      </c>
      <c r="C459" s="23">
        <f t="shared" si="2"/>
        <v>1900</v>
      </c>
      <c r="D459" s="23"/>
      <c r="E459" s="22"/>
      <c r="F459" s="24"/>
      <c r="G459" s="24"/>
      <c r="H459" s="24">
        <f>H458+'cash book - Argenta'!$F459-'cash book - Argenta'!$G459</f>
        <v>5025</v>
      </c>
    </row>
    <row r="460" spans="1:8" ht="34.5" customHeight="1" x14ac:dyDescent="0.25">
      <c r="A460" s="30"/>
      <c r="B460" s="22">
        <f>MONTH('cash book - Argenta'!$A460)</f>
        <v>1</v>
      </c>
      <c r="C460" s="23">
        <f t="shared" si="2"/>
        <v>1900</v>
      </c>
      <c r="D460" s="23"/>
      <c r="E460" s="22"/>
      <c r="F460" s="24"/>
      <c r="G460" s="24"/>
      <c r="H460" s="24">
        <f>H459+'cash book - Argenta'!$F460-'cash book - Argenta'!$G460</f>
        <v>5025</v>
      </c>
    </row>
    <row r="461" spans="1:8" ht="34.5" customHeight="1" x14ac:dyDescent="0.25">
      <c r="A461" s="30"/>
      <c r="B461" s="22">
        <f>MONTH('cash book - Argenta'!$A461)</f>
        <v>1</v>
      </c>
      <c r="C461" s="23">
        <f t="shared" si="2"/>
        <v>1900</v>
      </c>
      <c r="D461" s="23"/>
      <c r="E461" s="22"/>
      <c r="F461" s="24"/>
      <c r="G461" s="24"/>
      <c r="H461" s="24">
        <f>H460+'cash book - Argenta'!$F461-'cash book - Argenta'!$G461</f>
        <v>5025</v>
      </c>
    </row>
    <row r="462" spans="1:8" ht="33" customHeight="1" x14ac:dyDescent="0.25">
      <c r="A462" s="30"/>
      <c r="B462" s="22">
        <f>MONTH('cash book - Argenta'!$A462)</f>
        <v>1</v>
      </c>
      <c r="C462" s="23">
        <f t="shared" si="2"/>
        <v>1900</v>
      </c>
      <c r="D462" s="23"/>
      <c r="E462" s="22"/>
      <c r="F462" s="24"/>
      <c r="G462" s="24"/>
      <c r="H462" s="24">
        <f>H461+'cash book - Argenta'!$F462-'cash book - Argenta'!$G462</f>
        <v>5025</v>
      </c>
    </row>
    <row r="463" spans="1:8" ht="34.5" customHeight="1" x14ac:dyDescent="0.25">
      <c r="A463" s="30"/>
      <c r="B463" s="22">
        <f>MONTH('cash book - Argenta'!$A463)</f>
        <v>1</v>
      </c>
      <c r="C463" s="23">
        <f t="shared" si="2"/>
        <v>1900</v>
      </c>
      <c r="D463" s="23"/>
      <c r="E463" s="22"/>
      <c r="F463" s="24"/>
      <c r="G463" s="24"/>
      <c r="H463" s="24">
        <f>H462+'cash book - Argenta'!$F463-'cash book - Argenta'!$G463</f>
        <v>5025</v>
      </c>
    </row>
    <row r="464" spans="1:8" ht="34.5" customHeight="1" x14ac:dyDescent="0.25">
      <c r="A464" s="30"/>
      <c r="B464" s="22">
        <f>MONTH('cash book - Argenta'!$A464)</f>
        <v>1</v>
      </c>
      <c r="C464" s="23">
        <f t="shared" si="2"/>
        <v>1900</v>
      </c>
      <c r="D464" s="23"/>
      <c r="E464" s="22"/>
      <c r="F464" s="24"/>
      <c r="G464" s="24"/>
      <c r="H464" s="24">
        <f>H463+'cash book - Argenta'!$F464-'cash book - Argenta'!$G464</f>
        <v>5025</v>
      </c>
    </row>
    <row r="465" spans="1:8" ht="34.5" customHeight="1" x14ac:dyDescent="0.25">
      <c r="A465" s="30"/>
      <c r="B465" s="22">
        <f>MONTH('cash book - Argenta'!$A465)</f>
        <v>1</v>
      </c>
      <c r="C465" s="23">
        <f t="shared" si="2"/>
        <v>1900</v>
      </c>
      <c r="D465" s="23"/>
      <c r="E465" s="22"/>
      <c r="F465" s="24"/>
      <c r="G465" s="24"/>
      <c r="H465" s="24">
        <f>H464+'cash book - Argenta'!$F465-'cash book - Argenta'!$G465</f>
        <v>5025</v>
      </c>
    </row>
    <row r="466" spans="1:8" ht="34.5" customHeight="1" x14ac:dyDescent="0.25">
      <c r="A466" s="30"/>
      <c r="B466" s="22">
        <f>MONTH('cash book - Argenta'!$A466)</f>
        <v>1</v>
      </c>
      <c r="C466" s="23">
        <f t="shared" si="2"/>
        <v>1900</v>
      </c>
      <c r="D466" s="23"/>
      <c r="E466" s="22"/>
      <c r="F466" s="24"/>
      <c r="G466" s="24"/>
      <c r="H466" s="24">
        <f>H465+'cash book - Argenta'!$F466-'cash book - Argenta'!$G466</f>
        <v>5025</v>
      </c>
    </row>
    <row r="467" spans="1:8" ht="34.5" customHeight="1" x14ac:dyDescent="0.25">
      <c r="A467" s="30"/>
      <c r="B467" s="22">
        <f>MONTH('cash book - Argenta'!$A467)</f>
        <v>1</v>
      </c>
      <c r="C467" s="23">
        <f t="shared" si="2"/>
        <v>1900</v>
      </c>
      <c r="D467" s="23"/>
      <c r="E467" s="22"/>
      <c r="F467" s="24"/>
      <c r="G467" s="24"/>
      <c r="H467" s="24">
        <f>H466+'cash book - Argenta'!$F467-'cash book - Argenta'!$G467</f>
        <v>5025</v>
      </c>
    </row>
    <row r="468" spans="1:8" ht="34.5" customHeight="1" x14ac:dyDescent="0.25">
      <c r="A468" s="30"/>
      <c r="B468" s="22">
        <f>MONTH('cash book - Argenta'!$A468)</f>
        <v>1</v>
      </c>
      <c r="C468" s="23">
        <f t="shared" si="2"/>
        <v>1900</v>
      </c>
      <c r="D468" s="23"/>
      <c r="E468" s="22"/>
      <c r="F468" s="24"/>
      <c r="G468" s="24"/>
      <c r="H468" s="24">
        <f>H467+'cash book - Argenta'!$F468-'cash book - Argenta'!$G468</f>
        <v>5025</v>
      </c>
    </row>
    <row r="469" spans="1:8" ht="33" customHeight="1" x14ac:dyDescent="0.25">
      <c r="A469" s="30"/>
      <c r="B469" s="22">
        <f>MONTH('cash book - Argenta'!$A469)</f>
        <v>1</v>
      </c>
      <c r="C469" s="23">
        <f t="shared" si="2"/>
        <v>1900</v>
      </c>
      <c r="D469" s="23"/>
      <c r="E469" s="22"/>
      <c r="F469" s="24"/>
      <c r="G469" s="24"/>
      <c r="H469" s="24">
        <f>H468+'cash book - Argenta'!$F469-'cash book - Argenta'!$G469</f>
        <v>5025</v>
      </c>
    </row>
    <row r="470" spans="1:8" ht="34.5" customHeight="1" x14ac:dyDescent="0.25">
      <c r="A470" s="30"/>
      <c r="B470" s="22">
        <f>MONTH('cash book - Argenta'!$A470)</f>
        <v>1</v>
      </c>
      <c r="C470" s="23">
        <f t="shared" si="2"/>
        <v>1900</v>
      </c>
      <c r="D470" s="23"/>
      <c r="E470" s="22"/>
      <c r="F470" s="24"/>
      <c r="G470" s="24"/>
      <c r="H470" s="24">
        <f>H469+'cash book - Argenta'!$F470-'cash book - Argenta'!$G470</f>
        <v>5025</v>
      </c>
    </row>
    <row r="471" spans="1:8" ht="34.5" customHeight="1" x14ac:dyDescent="0.25">
      <c r="A471" s="30"/>
      <c r="B471" s="22">
        <f>MONTH('cash book - Argenta'!$A471)</f>
        <v>1</v>
      </c>
      <c r="C471" s="23">
        <f t="shared" si="2"/>
        <v>1900</v>
      </c>
      <c r="D471" s="23"/>
      <c r="E471" s="22"/>
      <c r="F471" s="24"/>
      <c r="G471" s="24"/>
      <c r="H471" s="24">
        <f>H470+'cash book - Argenta'!$F471-'cash book - Argenta'!$G471</f>
        <v>5025</v>
      </c>
    </row>
    <row r="472" spans="1:8" ht="34.5" customHeight="1" x14ac:dyDescent="0.25">
      <c r="A472" s="30"/>
      <c r="B472" s="22">
        <f>MONTH('cash book - Argenta'!$A472)</f>
        <v>1</v>
      </c>
      <c r="C472" s="23">
        <f t="shared" si="2"/>
        <v>1900</v>
      </c>
      <c r="D472" s="23"/>
      <c r="E472" s="22"/>
      <c r="F472" s="24"/>
      <c r="G472" s="24"/>
      <c r="H472" s="24">
        <f>H471+'cash book - Argenta'!$F472-'cash book - Argenta'!$G472</f>
        <v>5025</v>
      </c>
    </row>
    <row r="473" spans="1:8" ht="34.5" customHeight="1" x14ac:dyDescent="0.25">
      <c r="A473" s="30"/>
      <c r="B473" s="22">
        <f>MONTH('cash book - Argenta'!$A473)</f>
        <v>1</v>
      </c>
      <c r="C473" s="23">
        <f t="shared" si="2"/>
        <v>1900</v>
      </c>
      <c r="D473" s="23"/>
      <c r="E473" s="22"/>
      <c r="F473" s="24"/>
      <c r="G473" s="24"/>
      <c r="H473" s="24">
        <f>H472+'cash book - Argenta'!$F473-'cash book - Argenta'!$G473</f>
        <v>5025</v>
      </c>
    </row>
    <row r="474" spans="1:8" ht="34.5" customHeight="1" x14ac:dyDescent="0.25">
      <c r="A474" s="30"/>
      <c r="B474" s="22">
        <f>MONTH('cash book - Argenta'!$A474)</f>
        <v>1</v>
      </c>
      <c r="C474" s="23">
        <f t="shared" si="2"/>
        <v>1900</v>
      </c>
      <c r="D474" s="23"/>
      <c r="E474" s="22"/>
      <c r="F474" s="24"/>
      <c r="G474" s="24"/>
      <c r="H474" s="24">
        <f>H473+'cash book - Argenta'!$F474-'cash book - Argenta'!$G474</f>
        <v>5025</v>
      </c>
    </row>
    <row r="475" spans="1:8" ht="33" customHeight="1" x14ac:dyDescent="0.25">
      <c r="A475" s="30"/>
      <c r="B475" s="22">
        <f>MONTH('cash book - Argenta'!$A475)</f>
        <v>1</v>
      </c>
      <c r="C475" s="23">
        <f t="shared" si="2"/>
        <v>1900</v>
      </c>
      <c r="D475" s="23"/>
      <c r="E475" s="22"/>
      <c r="F475" s="24"/>
      <c r="G475" s="24"/>
      <c r="H475" s="24">
        <f>H474+'cash book - Argenta'!$F475-'cash book - Argenta'!$G475</f>
        <v>5025</v>
      </c>
    </row>
    <row r="476" spans="1:8" ht="34.5" customHeight="1" x14ac:dyDescent="0.25">
      <c r="A476" s="30"/>
      <c r="B476" s="22">
        <f>MONTH('cash book - Argenta'!$A476)</f>
        <v>1</v>
      </c>
      <c r="C476" s="23">
        <f t="shared" si="2"/>
        <v>1900</v>
      </c>
      <c r="D476" s="23"/>
      <c r="E476" s="22"/>
      <c r="F476" s="24"/>
      <c r="G476" s="24"/>
      <c r="H476" s="24">
        <f>H475+'cash book - Argenta'!$F476-'cash book - Argenta'!$G476</f>
        <v>5025</v>
      </c>
    </row>
    <row r="477" spans="1:8" ht="34.5" customHeight="1" x14ac:dyDescent="0.25">
      <c r="A477" s="30"/>
      <c r="B477" s="22">
        <f>MONTH('cash book - Argenta'!$A477)</f>
        <v>1</v>
      </c>
      <c r="C477" s="23">
        <f t="shared" si="2"/>
        <v>1900</v>
      </c>
      <c r="D477" s="23"/>
      <c r="E477" s="22"/>
      <c r="F477" s="24"/>
      <c r="G477" s="24"/>
      <c r="H477" s="24">
        <f>H476+'cash book - Argenta'!$F477-'cash book - Argenta'!$G477</f>
        <v>5025</v>
      </c>
    </row>
    <row r="478" spans="1:8" ht="34.5" customHeight="1" x14ac:dyDescent="0.25">
      <c r="A478" s="30"/>
      <c r="B478" s="22">
        <f>MONTH('cash book - Argenta'!$A478)</f>
        <v>1</v>
      </c>
      <c r="C478" s="23">
        <f t="shared" si="2"/>
        <v>1900</v>
      </c>
      <c r="D478" s="23"/>
      <c r="E478" s="22"/>
      <c r="F478" s="24"/>
      <c r="G478" s="24"/>
      <c r="H478" s="24">
        <f>H477+'cash book - Argenta'!$F478-'cash book - Argenta'!$G478</f>
        <v>5025</v>
      </c>
    </row>
    <row r="479" spans="1:8" ht="33" customHeight="1" x14ac:dyDescent="0.25">
      <c r="A479" s="30"/>
      <c r="B479" s="22">
        <f>MONTH('cash book - Argenta'!$A479)</f>
        <v>1</v>
      </c>
      <c r="C479" s="23">
        <f t="shared" si="2"/>
        <v>1900</v>
      </c>
      <c r="D479" s="23"/>
      <c r="E479" s="22"/>
      <c r="F479" s="24"/>
      <c r="G479" s="24"/>
      <c r="H479" s="24">
        <f>H478+'cash book - Argenta'!$F479-'cash book - Argenta'!$G479</f>
        <v>5025</v>
      </c>
    </row>
    <row r="480" spans="1:8" ht="34.5" customHeight="1" x14ac:dyDescent="0.25">
      <c r="A480" s="30"/>
      <c r="B480" s="22">
        <f>MONTH('cash book - Argenta'!$A480)</f>
        <v>1</v>
      </c>
      <c r="C480" s="23">
        <f t="shared" si="2"/>
        <v>1900</v>
      </c>
      <c r="D480" s="23"/>
      <c r="E480" s="22"/>
      <c r="F480" s="24"/>
      <c r="G480" s="24"/>
      <c r="H480" s="24">
        <f>H479+'cash book - Argenta'!$F480-'cash book - Argenta'!$G480</f>
        <v>5025</v>
      </c>
    </row>
    <row r="481" spans="1:8" ht="34.5" customHeight="1" x14ac:dyDescent="0.25">
      <c r="A481" s="30"/>
      <c r="B481" s="22">
        <f>MONTH('cash book - Argenta'!$A481)</f>
        <v>1</v>
      </c>
      <c r="C481" s="23">
        <f t="shared" si="2"/>
        <v>1900</v>
      </c>
      <c r="D481" s="23"/>
      <c r="E481" s="22"/>
      <c r="F481" s="24"/>
      <c r="G481" s="24"/>
      <c r="H481" s="24">
        <f>H480+'cash book - Argenta'!$F481-'cash book - Argenta'!$G481</f>
        <v>5025</v>
      </c>
    </row>
    <row r="482" spans="1:8" ht="34.5" customHeight="1" x14ac:dyDescent="0.25">
      <c r="A482" s="30"/>
      <c r="B482" s="22">
        <f>MONTH('cash book - Argenta'!$A482)</f>
        <v>1</v>
      </c>
      <c r="C482" s="23">
        <f t="shared" si="2"/>
        <v>1900</v>
      </c>
      <c r="D482" s="23"/>
      <c r="E482" s="22"/>
      <c r="F482" s="24"/>
      <c r="G482" s="24"/>
      <c r="H482" s="24">
        <f>H481+'cash book - Argenta'!$F482-'cash book - Argenta'!$G482</f>
        <v>5025</v>
      </c>
    </row>
    <row r="483" spans="1:8" ht="33" customHeight="1" x14ac:dyDescent="0.25">
      <c r="A483" s="30"/>
      <c r="B483" s="22">
        <f>MONTH('cash book - Argenta'!$A483)</f>
        <v>1</v>
      </c>
      <c r="C483" s="23">
        <f t="shared" si="2"/>
        <v>1900</v>
      </c>
      <c r="D483" s="23"/>
      <c r="E483" s="22"/>
      <c r="F483" s="24"/>
      <c r="G483" s="24"/>
      <c r="H483" s="24">
        <f>H482+'cash book - Argenta'!$F483-'cash book - Argenta'!$G483</f>
        <v>5025</v>
      </c>
    </row>
    <row r="484" spans="1:8" ht="34.5" customHeight="1" x14ac:dyDescent="0.25">
      <c r="A484" s="30"/>
      <c r="B484" s="22">
        <f>MONTH('cash book - Argenta'!$A484)</f>
        <v>1</v>
      </c>
      <c r="C484" s="23">
        <f t="shared" si="2"/>
        <v>1900</v>
      </c>
      <c r="D484" s="23"/>
      <c r="E484" s="22"/>
      <c r="F484" s="24"/>
      <c r="G484" s="24"/>
      <c r="H484" s="24">
        <f>H483+'cash book - Argenta'!$F484-'cash book - Argenta'!$G484</f>
        <v>5025</v>
      </c>
    </row>
    <row r="485" spans="1:8" ht="34.5" customHeight="1" x14ac:dyDescent="0.25">
      <c r="A485" s="30"/>
      <c r="B485" s="22">
        <f>MONTH('cash book - Argenta'!$A485)</f>
        <v>1</v>
      </c>
      <c r="C485" s="23">
        <f t="shared" si="2"/>
        <v>1900</v>
      </c>
      <c r="D485" s="23"/>
      <c r="E485" s="22"/>
      <c r="F485" s="24"/>
      <c r="G485" s="24"/>
      <c r="H485" s="24">
        <f>H484+'cash book - Argenta'!$F485-'cash book - Argenta'!$G485</f>
        <v>5025</v>
      </c>
    </row>
    <row r="486" spans="1:8" ht="34.5" customHeight="1" x14ac:dyDescent="0.25">
      <c r="A486" s="30"/>
      <c r="B486" s="22">
        <f>MONTH('cash book - Argenta'!$A486)</f>
        <v>1</v>
      </c>
      <c r="C486" s="23">
        <f t="shared" si="2"/>
        <v>1900</v>
      </c>
      <c r="D486" s="23"/>
      <c r="E486" s="22"/>
      <c r="F486" s="24"/>
      <c r="G486" s="24"/>
      <c r="H486" s="24">
        <f>H485+'cash book - Argenta'!$F486-'cash book - Argenta'!$G486</f>
        <v>5025</v>
      </c>
    </row>
    <row r="487" spans="1:8" ht="34.5" customHeight="1" x14ac:dyDescent="0.25">
      <c r="A487" s="30"/>
      <c r="B487" s="22">
        <f>MONTH('cash book - Argenta'!$A487)</f>
        <v>1</v>
      </c>
      <c r="C487" s="23">
        <f t="shared" si="2"/>
        <v>1900</v>
      </c>
      <c r="D487" s="23"/>
      <c r="E487" s="22"/>
      <c r="F487" s="24"/>
      <c r="G487" s="24"/>
      <c r="H487" s="24">
        <f>H486+'cash book - Argenta'!$F487-'cash book - Argenta'!$G487</f>
        <v>5025</v>
      </c>
    </row>
    <row r="488" spans="1:8" ht="34.5" customHeight="1" x14ac:dyDescent="0.25">
      <c r="A488" s="30"/>
      <c r="B488" s="22">
        <f>MONTH('cash book - Argenta'!$A488)</f>
        <v>1</v>
      </c>
      <c r="C488" s="23">
        <f t="shared" si="2"/>
        <v>1900</v>
      </c>
      <c r="D488" s="23"/>
      <c r="E488" s="22"/>
      <c r="F488" s="24"/>
      <c r="G488" s="24"/>
      <c r="H488" s="24">
        <f>H487+'cash book - Argenta'!$F488-'cash book - Argenta'!$G488</f>
        <v>5025</v>
      </c>
    </row>
    <row r="489" spans="1:8" ht="33" customHeight="1" x14ac:dyDescent="0.25">
      <c r="A489" s="30"/>
      <c r="B489" s="22">
        <f>MONTH('cash book - Argenta'!$A489)</f>
        <v>1</v>
      </c>
      <c r="C489" s="23">
        <f t="shared" si="2"/>
        <v>1900</v>
      </c>
      <c r="D489" s="23"/>
      <c r="E489" s="22"/>
      <c r="F489" s="24"/>
      <c r="G489" s="24"/>
      <c r="H489" s="24">
        <f>H488+'cash book - Argenta'!$F489-'cash book - Argenta'!$G489</f>
        <v>5025</v>
      </c>
    </row>
    <row r="490" spans="1:8" ht="34.5" customHeight="1" x14ac:dyDescent="0.25">
      <c r="A490" s="30"/>
      <c r="B490" s="22">
        <f>MONTH('cash book - Argenta'!$A490)</f>
        <v>1</v>
      </c>
      <c r="C490" s="23">
        <f t="shared" si="2"/>
        <v>1900</v>
      </c>
      <c r="D490" s="23"/>
      <c r="E490" s="22"/>
      <c r="F490" s="24"/>
      <c r="G490" s="24"/>
      <c r="H490" s="24">
        <f>H489+'cash book - Argenta'!$F490-'cash book - Argenta'!$G490</f>
        <v>5025</v>
      </c>
    </row>
    <row r="491" spans="1:8" ht="34.5" customHeight="1" x14ac:dyDescent="0.25">
      <c r="A491" s="30"/>
      <c r="B491" s="22">
        <f>MONTH('cash book - Argenta'!$A491)</f>
        <v>1</v>
      </c>
      <c r="C491" s="23">
        <f t="shared" si="2"/>
        <v>1900</v>
      </c>
      <c r="D491" s="23"/>
      <c r="E491" s="22"/>
      <c r="F491" s="24"/>
      <c r="G491" s="24"/>
      <c r="H491" s="24">
        <f>H490+'cash book - Argenta'!$F491-'cash book - Argenta'!$G491</f>
        <v>5025</v>
      </c>
    </row>
    <row r="492" spans="1:8" ht="34.5" customHeight="1" x14ac:dyDescent="0.25">
      <c r="A492" s="30"/>
      <c r="B492" s="22">
        <f>MONTH('cash book - Argenta'!$A492)</f>
        <v>1</v>
      </c>
      <c r="C492" s="23">
        <f t="shared" si="2"/>
        <v>1900</v>
      </c>
      <c r="D492" s="23"/>
      <c r="E492" s="22"/>
      <c r="F492" s="24"/>
      <c r="G492" s="24"/>
      <c r="H492" s="24">
        <f>H491+'cash book - Argenta'!$F492-'cash book - Argenta'!$G492</f>
        <v>5025</v>
      </c>
    </row>
    <row r="493" spans="1:8" ht="34.5" customHeight="1" x14ac:dyDescent="0.25">
      <c r="A493" s="30"/>
      <c r="B493" s="22">
        <f>MONTH('cash book - Argenta'!$A493)</f>
        <v>1</v>
      </c>
      <c r="C493" s="23">
        <f t="shared" si="2"/>
        <v>1900</v>
      </c>
      <c r="D493" s="23"/>
      <c r="E493" s="22"/>
      <c r="F493" s="24"/>
      <c r="G493" s="24"/>
      <c r="H493" s="24">
        <f>H492+'cash book - Argenta'!$F493-'cash book - Argenta'!$G493</f>
        <v>5025</v>
      </c>
    </row>
    <row r="494" spans="1:8" ht="34.5" customHeight="1" x14ac:dyDescent="0.25">
      <c r="A494" s="30"/>
      <c r="B494" s="22">
        <f>MONTH('cash book - Argenta'!$A494)</f>
        <v>1</v>
      </c>
      <c r="C494" s="23">
        <f t="shared" si="2"/>
        <v>1900</v>
      </c>
      <c r="D494" s="23"/>
      <c r="E494" s="22"/>
      <c r="F494" s="24"/>
      <c r="G494" s="24"/>
      <c r="H494" s="24">
        <f>H493+'cash book - Argenta'!$F494-'cash book - Argenta'!$G494</f>
        <v>5025</v>
      </c>
    </row>
    <row r="495" spans="1:8" ht="34.5" customHeight="1" x14ac:dyDescent="0.25">
      <c r="A495" s="30"/>
      <c r="B495" s="22">
        <f>MONTH('cash book - Argenta'!$A495)</f>
        <v>1</v>
      </c>
      <c r="C495" s="23">
        <f t="shared" si="2"/>
        <v>1900</v>
      </c>
      <c r="D495" s="23"/>
      <c r="E495" s="22"/>
      <c r="F495" s="24"/>
      <c r="G495" s="24"/>
      <c r="H495" s="24">
        <f>H494+'cash book - Argenta'!$F495-'cash book - Argenta'!$G495</f>
        <v>5025</v>
      </c>
    </row>
    <row r="496" spans="1:8" ht="33" customHeight="1" x14ac:dyDescent="0.25">
      <c r="A496" s="30"/>
      <c r="B496" s="22">
        <f>MONTH('cash book - Argenta'!$A496)</f>
        <v>1</v>
      </c>
      <c r="C496" s="23">
        <f t="shared" si="2"/>
        <v>1900</v>
      </c>
      <c r="D496" s="23"/>
      <c r="E496" s="22"/>
      <c r="F496" s="24"/>
      <c r="G496" s="24"/>
      <c r="H496" s="24">
        <f>H495+'cash book - Argenta'!$F496-'cash book - Argenta'!$G496</f>
        <v>5025</v>
      </c>
    </row>
    <row r="497" spans="1:8" ht="34.5" customHeight="1" x14ac:dyDescent="0.25">
      <c r="A497" s="30"/>
      <c r="B497" s="22">
        <f>MONTH('cash book - Argenta'!$A497)</f>
        <v>1</v>
      </c>
      <c r="C497" s="23">
        <f t="shared" si="2"/>
        <v>1900</v>
      </c>
      <c r="D497" s="23"/>
      <c r="E497" s="22"/>
      <c r="F497" s="24"/>
      <c r="G497" s="24"/>
      <c r="H497" s="24">
        <f>H496+'cash book - Argenta'!$F497-'cash book - Argenta'!$G497</f>
        <v>5025</v>
      </c>
    </row>
    <row r="498" spans="1:8" ht="34.5" customHeight="1" x14ac:dyDescent="0.25">
      <c r="A498" s="30"/>
      <c r="B498" s="22">
        <f>MONTH('cash book - Argenta'!$A498)</f>
        <v>1</v>
      </c>
      <c r="C498" s="23">
        <f t="shared" si="2"/>
        <v>1900</v>
      </c>
      <c r="D498" s="23"/>
      <c r="E498" s="22"/>
      <c r="F498" s="24"/>
      <c r="G498" s="24"/>
      <c r="H498" s="24">
        <f>H497+'cash book - Argenta'!$F498-'cash book - Argenta'!$G498</f>
        <v>5025</v>
      </c>
    </row>
    <row r="499" spans="1:8" ht="34.5" customHeight="1" x14ac:dyDescent="0.25">
      <c r="A499" s="30"/>
      <c r="B499" s="22">
        <f>MONTH('cash book - Argenta'!$A499)</f>
        <v>1</v>
      </c>
      <c r="C499" s="23">
        <f t="shared" si="2"/>
        <v>1900</v>
      </c>
      <c r="D499" s="23"/>
      <c r="E499" s="22"/>
      <c r="F499" s="24"/>
      <c r="G499" s="24"/>
      <c r="H499" s="24">
        <f>H498+'cash book - Argenta'!$F499-'cash book - Argenta'!$G499</f>
        <v>5025</v>
      </c>
    </row>
    <row r="500" spans="1:8" ht="34.5" customHeight="1" x14ac:dyDescent="0.25">
      <c r="A500" s="30"/>
      <c r="B500" s="22">
        <f>MONTH('cash book - Argenta'!$A500)</f>
        <v>1</v>
      </c>
      <c r="C500" s="23">
        <f t="shared" si="2"/>
        <v>1900</v>
      </c>
      <c r="D500" s="23"/>
      <c r="E500" s="22"/>
      <c r="F500" s="24"/>
      <c r="G500" s="24"/>
      <c r="H500" s="24">
        <f>H499+'cash book - Argenta'!$F500-'cash book - Argenta'!$G500</f>
        <v>5025</v>
      </c>
    </row>
    <row r="501" spans="1:8" ht="34.5" customHeight="1" x14ac:dyDescent="0.25">
      <c r="A501" s="30"/>
      <c r="B501" s="22">
        <f>MONTH('cash book - Argenta'!$A501)</f>
        <v>1</v>
      </c>
      <c r="C501" s="23">
        <f t="shared" si="2"/>
        <v>1900</v>
      </c>
      <c r="D501" s="23"/>
      <c r="E501" s="22"/>
      <c r="F501" s="24"/>
      <c r="G501" s="24"/>
      <c r="H501" s="24">
        <f>H500+'cash book - Argenta'!$F501-'cash book - Argenta'!$G501</f>
        <v>5025</v>
      </c>
    </row>
    <row r="502" spans="1:8" ht="33" customHeight="1" x14ac:dyDescent="0.25">
      <c r="A502" s="30"/>
      <c r="B502" s="22">
        <f>MONTH('cash book - Argenta'!$A502)</f>
        <v>1</v>
      </c>
      <c r="C502" s="23">
        <f t="shared" si="2"/>
        <v>1900</v>
      </c>
      <c r="D502" s="23"/>
      <c r="E502" s="22"/>
      <c r="F502" s="24"/>
      <c r="G502" s="24"/>
      <c r="H502" s="24">
        <f>H501+'cash book - Argenta'!$F502-'cash book - Argenta'!$G502</f>
        <v>5025</v>
      </c>
    </row>
    <row r="503" spans="1:8" ht="34.5" customHeight="1" x14ac:dyDescent="0.25">
      <c r="A503" s="30"/>
      <c r="B503" s="22">
        <f>MONTH('cash book - Argenta'!$A503)</f>
        <v>1</v>
      </c>
      <c r="C503" s="23">
        <f t="shared" si="2"/>
        <v>1900</v>
      </c>
      <c r="D503" s="23"/>
      <c r="E503" s="22"/>
      <c r="F503" s="24"/>
      <c r="G503" s="24"/>
      <c r="H503" s="24">
        <f>H502+'cash book - Argenta'!$F503-'cash book - Argenta'!$G503</f>
        <v>5025</v>
      </c>
    </row>
    <row r="504" spans="1:8" ht="33" customHeight="1" x14ac:dyDescent="0.25">
      <c r="A504" s="30"/>
      <c r="B504" s="22">
        <f>MONTH('cash book - Argenta'!$A504)</f>
        <v>1</v>
      </c>
      <c r="C504" s="23">
        <f t="shared" si="2"/>
        <v>1900</v>
      </c>
      <c r="D504" s="23"/>
      <c r="E504" s="22"/>
      <c r="F504" s="24"/>
      <c r="G504" s="24"/>
      <c r="H504" s="24">
        <f>H503+'cash book - Argenta'!$F504-'cash book - Argenta'!$G504</f>
        <v>5025</v>
      </c>
    </row>
    <row r="505" spans="1:8" ht="34.5" customHeight="1" x14ac:dyDescent="0.25">
      <c r="A505" s="30"/>
      <c r="B505" s="22">
        <f>MONTH('cash book - Argenta'!$A505)</f>
        <v>1</v>
      </c>
      <c r="C505" s="23">
        <f t="shared" si="2"/>
        <v>1900</v>
      </c>
      <c r="D505" s="23"/>
      <c r="E505" s="22"/>
      <c r="F505" s="24"/>
      <c r="G505" s="24"/>
      <c r="H505" s="24">
        <f>H504+'cash book - Argenta'!$F505-'cash book - Argenta'!$G505</f>
        <v>5025</v>
      </c>
    </row>
    <row r="506" spans="1:8" ht="34.5" customHeight="1" x14ac:dyDescent="0.25">
      <c r="A506" s="30"/>
      <c r="B506" s="22">
        <f>MONTH('cash book - Argenta'!$A506)</f>
        <v>1</v>
      </c>
      <c r="C506" s="23">
        <f t="shared" si="2"/>
        <v>1900</v>
      </c>
      <c r="D506" s="23"/>
      <c r="E506" s="22"/>
      <c r="F506" s="24"/>
      <c r="G506" s="24"/>
      <c r="H506" s="24">
        <f>H505+'cash book - Argenta'!$F506-'cash book - Argenta'!$G506</f>
        <v>5025</v>
      </c>
    </row>
    <row r="507" spans="1:8" ht="34.5" customHeight="1" x14ac:dyDescent="0.25">
      <c r="A507" s="30"/>
      <c r="B507" s="22">
        <f>MONTH('cash book - Argenta'!$A507)</f>
        <v>1</v>
      </c>
      <c r="C507" s="23">
        <f t="shared" si="2"/>
        <v>1900</v>
      </c>
      <c r="D507" s="23"/>
      <c r="E507" s="22"/>
      <c r="F507" s="24"/>
      <c r="G507" s="24"/>
      <c r="H507" s="24">
        <f>H506+'cash book - Argenta'!$F507-'cash book - Argenta'!$G507</f>
        <v>5025</v>
      </c>
    </row>
    <row r="508" spans="1:8" ht="33" customHeight="1" x14ac:dyDescent="0.25">
      <c r="A508" s="30"/>
      <c r="B508" s="22">
        <f>MONTH('cash book - Argenta'!$A508)</f>
        <v>1</v>
      </c>
      <c r="C508" s="23">
        <f t="shared" si="2"/>
        <v>1900</v>
      </c>
      <c r="D508" s="23"/>
      <c r="E508" s="22"/>
      <c r="F508" s="24"/>
      <c r="G508" s="24"/>
      <c r="H508" s="24">
        <f>H507+'cash book - Argenta'!$F508-'cash book - Argenta'!$G508</f>
        <v>5025</v>
      </c>
    </row>
    <row r="509" spans="1:8" ht="34.5" customHeight="1" x14ac:dyDescent="0.25">
      <c r="A509" s="30"/>
      <c r="B509" s="22">
        <f>MONTH('cash book - Argenta'!$A509)</f>
        <v>1</v>
      </c>
      <c r="C509" s="23">
        <f t="shared" si="2"/>
        <v>1900</v>
      </c>
      <c r="D509" s="23"/>
      <c r="E509" s="22"/>
      <c r="F509" s="24"/>
      <c r="G509" s="24"/>
      <c r="H509" s="24">
        <f>H508+'cash book - Argenta'!$F509-'cash book - Argenta'!$G509</f>
        <v>5025</v>
      </c>
    </row>
    <row r="510" spans="1:8" ht="34.5" customHeight="1" x14ac:dyDescent="0.25">
      <c r="A510" s="30"/>
      <c r="B510" s="22">
        <f>MONTH('cash book - Argenta'!$A510)</f>
        <v>1</v>
      </c>
      <c r="C510" s="23">
        <f t="shared" si="2"/>
        <v>1900</v>
      </c>
      <c r="D510" s="23"/>
      <c r="E510" s="22"/>
      <c r="F510" s="24"/>
      <c r="G510" s="24"/>
      <c r="H510" s="24">
        <f>H509+'cash book - Argenta'!$F510-'cash book - Argenta'!$G510</f>
        <v>5025</v>
      </c>
    </row>
    <row r="511" spans="1:8" ht="34.5" customHeight="1" x14ac:dyDescent="0.25">
      <c r="A511" s="30"/>
      <c r="B511" s="22">
        <f>MONTH('cash book - Argenta'!$A511)</f>
        <v>1</v>
      </c>
      <c r="C511" s="23">
        <f t="shared" si="2"/>
        <v>1900</v>
      </c>
      <c r="D511" s="23"/>
      <c r="E511" s="22"/>
      <c r="F511" s="24"/>
      <c r="G511" s="24"/>
      <c r="H511" s="24">
        <f>H510+'cash book - Argenta'!$F511-'cash book - Argenta'!$G511</f>
        <v>5025</v>
      </c>
    </row>
    <row r="512" spans="1:8" ht="34.5" customHeight="1" x14ac:dyDescent="0.25">
      <c r="A512" s="30"/>
      <c r="B512" s="22">
        <f>MONTH('cash book - Argenta'!$A512)</f>
        <v>1</v>
      </c>
      <c r="C512" s="23">
        <f t="shared" ref="C512:C584" si="3">YEAR(A512)</f>
        <v>1900</v>
      </c>
      <c r="D512" s="23"/>
      <c r="E512" s="22"/>
      <c r="F512" s="24"/>
      <c r="G512" s="24"/>
      <c r="H512" s="24">
        <f>H511+'cash book - Argenta'!$F512-'cash book - Argenta'!$G512</f>
        <v>5025</v>
      </c>
    </row>
    <row r="513" spans="1:8" ht="34.5" customHeight="1" x14ac:dyDescent="0.25">
      <c r="A513" s="30"/>
      <c r="B513" s="22">
        <f>MONTH('cash book - Argenta'!$A513)</f>
        <v>1</v>
      </c>
      <c r="C513" s="23">
        <f t="shared" si="3"/>
        <v>1900</v>
      </c>
      <c r="D513" s="23"/>
      <c r="E513" s="22"/>
      <c r="F513" s="24"/>
      <c r="G513" s="24"/>
      <c r="H513" s="24">
        <f>H512+'cash book - Argenta'!$F513-'cash book - Argenta'!$G513</f>
        <v>5025</v>
      </c>
    </row>
    <row r="514" spans="1:8" ht="33" customHeight="1" x14ac:dyDescent="0.25">
      <c r="A514" s="30"/>
      <c r="B514" s="22">
        <f>MONTH('cash book - Argenta'!$A514)</f>
        <v>1</v>
      </c>
      <c r="C514" s="23">
        <f t="shared" si="3"/>
        <v>1900</v>
      </c>
      <c r="D514" s="23"/>
      <c r="E514" s="22"/>
      <c r="F514" s="24"/>
      <c r="G514" s="24"/>
      <c r="H514" s="24">
        <f>H513+'cash book - Argenta'!$F514-'cash book - Argenta'!$G514</f>
        <v>5025</v>
      </c>
    </row>
    <row r="515" spans="1:8" ht="34.5" customHeight="1" x14ac:dyDescent="0.25">
      <c r="A515" s="30"/>
      <c r="B515" s="22">
        <f>MONTH('cash book - Argenta'!$A515)</f>
        <v>1</v>
      </c>
      <c r="C515" s="23">
        <f t="shared" si="3"/>
        <v>1900</v>
      </c>
      <c r="D515" s="23"/>
      <c r="E515" s="22"/>
      <c r="F515" s="24"/>
      <c r="G515" s="24"/>
      <c r="H515" s="24">
        <f>H514+'cash book - Argenta'!$F515-'cash book - Argenta'!$G515</f>
        <v>5025</v>
      </c>
    </row>
    <row r="516" spans="1:8" ht="34.5" customHeight="1" x14ac:dyDescent="0.25">
      <c r="A516" s="30"/>
      <c r="B516" s="22">
        <f>MONTH('cash book - Argenta'!$A516)</f>
        <v>1</v>
      </c>
      <c r="C516" s="23">
        <f t="shared" si="3"/>
        <v>1900</v>
      </c>
      <c r="D516" s="23"/>
      <c r="E516" s="22"/>
      <c r="F516" s="24"/>
      <c r="G516" s="24"/>
      <c r="H516" s="24">
        <f>H515+'cash book - Argenta'!$F516-'cash book - Argenta'!$G516</f>
        <v>5025</v>
      </c>
    </row>
    <row r="517" spans="1:8" ht="34.5" customHeight="1" x14ac:dyDescent="0.25">
      <c r="A517" s="30"/>
      <c r="B517" s="22">
        <f>MONTH('cash book - Argenta'!$A517)</f>
        <v>1</v>
      </c>
      <c r="C517" s="23">
        <f t="shared" si="3"/>
        <v>1900</v>
      </c>
      <c r="D517" s="23"/>
      <c r="E517" s="22"/>
      <c r="F517" s="24"/>
      <c r="G517" s="24"/>
      <c r="H517" s="24">
        <f>H516+'cash book - Argenta'!$F517-'cash book - Argenta'!$G517</f>
        <v>5025</v>
      </c>
    </row>
    <row r="518" spans="1:8" ht="34.5" customHeight="1" x14ac:dyDescent="0.25">
      <c r="A518" s="30"/>
      <c r="B518" s="22">
        <f>MONTH('cash book - Argenta'!$A518)</f>
        <v>1</v>
      </c>
      <c r="C518" s="23">
        <f t="shared" si="3"/>
        <v>1900</v>
      </c>
      <c r="D518" s="23"/>
      <c r="E518" s="22"/>
      <c r="F518" s="24"/>
      <c r="G518" s="24"/>
      <c r="H518" s="24">
        <f>H517+'cash book - Argenta'!$F518-'cash book - Argenta'!$G518</f>
        <v>5025</v>
      </c>
    </row>
    <row r="519" spans="1:8" ht="34.5" customHeight="1" x14ac:dyDescent="0.25">
      <c r="A519" s="30"/>
      <c r="B519" s="22">
        <f>MONTH('cash book - Argenta'!$A519)</f>
        <v>1</v>
      </c>
      <c r="C519" s="23">
        <f t="shared" si="3"/>
        <v>1900</v>
      </c>
      <c r="D519" s="23"/>
      <c r="E519" s="22"/>
      <c r="F519" s="24"/>
      <c r="G519" s="24"/>
      <c r="H519" s="24">
        <f>H518+'cash book - Argenta'!$F519-'cash book - Argenta'!$G519</f>
        <v>5025</v>
      </c>
    </row>
    <row r="520" spans="1:8" ht="34.5" customHeight="1" x14ac:dyDescent="0.25">
      <c r="A520" s="30"/>
      <c r="B520" s="22">
        <f>MONTH('cash book - Argenta'!$A520)</f>
        <v>1</v>
      </c>
      <c r="C520" s="23">
        <f t="shared" si="3"/>
        <v>1900</v>
      </c>
      <c r="D520" s="23"/>
      <c r="E520" s="22"/>
      <c r="F520" s="24"/>
      <c r="G520" s="24"/>
      <c r="H520" s="24">
        <f>H519+'cash book - Argenta'!$F520-'cash book - Argenta'!$G520</f>
        <v>5025</v>
      </c>
    </row>
    <row r="521" spans="1:8" ht="33" customHeight="1" x14ac:dyDescent="0.25">
      <c r="A521" s="30"/>
      <c r="B521" s="22">
        <f>MONTH('cash book - Argenta'!$A521)</f>
        <v>1</v>
      </c>
      <c r="C521" s="23">
        <f t="shared" si="3"/>
        <v>1900</v>
      </c>
      <c r="D521" s="23"/>
      <c r="E521" s="22"/>
      <c r="F521" s="24"/>
      <c r="G521" s="24"/>
      <c r="H521" s="24">
        <f>H520+'cash book - Argenta'!$F521-'cash book - Argenta'!$G521</f>
        <v>5025</v>
      </c>
    </row>
    <row r="522" spans="1:8" ht="34.5" customHeight="1" x14ac:dyDescent="0.25">
      <c r="A522" s="30"/>
      <c r="B522" s="22">
        <f>MONTH('cash book - Argenta'!$A522)</f>
        <v>1</v>
      </c>
      <c r="C522" s="23">
        <f t="shared" si="3"/>
        <v>1900</v>
      </c>
      <c r="D522" s="23"/>
      <c r="E522" s="22"/>
      <c r="F522" s="24"/>
      <c r="G522" s="24"/>
      <c r="H522" s="24">
        <f>H521+'cash book - Argenta'!$F522-'cash book - Argenta'!$G522</f>
        <v>5025</v>
      </c>
    </row>
    <row r="523" spans="1:8" ht="34.5" customHeight="1" x14ac:dyDescent="0.25">
      <c r="A523" s="30"/>
      <c r="B523" s="22">
        <f>MONTH('cash book - Argenta'!$A523)</f>
        <v>1</v>
      </c>
      <c r="C523" s="23">
        <f t="shared" si="3"/>
        <v>1900</v>
      </c>
      <c r="D523" s="23"/>
      <c r="E523" s="22"/>
      <c r="F523" s="24"/>
      <c r="G523" s="24"/>
      <c r="H523" s="24">
        <f>H522+'cash book - Argenta'!$F523-'cash book - Argenta'!$G523</f>
        <v>5025</v>
      </c>
    </row>
    <row r="524" spans="1:8" ht="34.5" customHeight="1" x14ac:dyDescent="0.25">
      <c r="A524" s="30"/>
      <c r="B524" s="22">
        <f>MONTH('cash book - Argenta'!$A524)</f>
        <v>1</v>
      </c>
      <c r="C524" s="23">
        <f t="shared" si="3"/>
        <v>1900</v>
      </c>
      <c r="D524" s="23"/>
      <c r="E524" s="22"/>
      <c r="F524" s="24"/>
      <c r="G524" s="24"/>
      <c r="H524" s="24">
        <f>H523+'cash book - Argenta'!$F524-'cash book - Argenta'!$G524</f>
        <v>5025</v>
      </c>
    </row>
    <row r="525" spans="1:8" ht="34.5" customHeight="1" x14ac:dyDescent="0.25">
      <c r="A525" s="30"/>
      <c r="B525" s="22">
        <f>MONTH('cash book - Argenta'!$A525)</f>
        <v>1</v>
      </c>
      <c r="C525" s="23">
        <f t="shared" si="3"/>
        <v>1900</v>
      </c>
      <c r="D525" s="23"/>
      <c r="E525" s="22"/>
      <c r="F525" s="24"/>
      <c r="G525" s="24"/>
      <c r="H525" s="24">
        <f>H524+'cash book - Argenta'!$F525-'cash book - Argenta'!$G525</f>
        <v>5025</v>
      </c>
    </row>
    <row r="526" spans="1:8" ht="34.5" customHeight="1" x14ac:dyDescent="0.25">
      <c r="A526" s="30"/>
      <c r="B526" s="22">
        <f>MONTH('cash book - Argenta'!$A526)</f>
        <v>1</v>
      </c>
      <c r="C526" s="23">
        <f t="shared" si="3"/>
        <v>1900</v>
      </c>
      <c r="D526" s="23"/>
      <c r="E526" s="22"/>
      <c r="F526" s="24"/>
      <c r="G526" s="24"/>
      <c r="H526" s="24">
        <f>H525+'cash book - Argenta'!$F526-'cash book - Argenta'!$G526</f>
        <v>5025</v>
      </c>
    </row>
    <row r="527" spans="1:8" ht="33" customHeight="1" x14ac:dyDescent="0.25">
      <c r="A527" s="30"/>
      <c r="B527" s="22">
        <f>MONTH('cash book - Argenta'!$A527)</f>
        <v>1</v>
      </c>
      <c r="C527" s="23">
        <f t="shared" si="3"/>
        <v>1900</v>
      </c>
      <c r="D527" s="23"/>
      <c r="E527" s="22"/>
      <c r="F527" s="24"/>
      <c r="G527" s="24"/>
      <c r="H527" s="24">
        <f>H526+'cash book - Argenta'!$F527-'cash book - Argenta'!$G527</f>
        <v>5025</v>
      </c>
    </row>
    <row r="528" spans="1:8" ht="34.5" customHeight="1" x14ac:dyDescent="0.25">
      <c r="A528" s="30"/>
      <c r="B528" s="22">
        <f>MONTH('cash book - Argenta'!$A528)</f>
        <v>1</v>
      </c>
      <c r="C528" s="23">
        <f t="shared" si="3"/>
        <v>1900</v>
      </c>
      <c r="D528" s="23"/>
      <c r="E528" s="22"/>
      <c r="F528" s="24"/>
      <c r="G528" s="24"/>
      <c r="H528" s="24">
        <f>H527+'cash book - Argenta'!$F528-'cash book - Argenta'!$G528</f>
        <v>5025</v>
      </c>
    </row>
    <row r="529" spans="1:8" ht="34.5" customHeight="1" x14ac:dyDescent="0.25">
      <c r="A529" s="30"/>
      <c r="B529" s="22">
        <f>MONTH('cash book - Argenta'!$A529)</f>
        <v>1</v>
      </c>
      <c r="C529" s="23">
        <f t="shared" si="3"/>
        <v>1900</v>
      </c>
      <c r="D529" s="23"/>
      <c r="E529" s="22"/>
      <c r="F529" s="24"/>
      <c r="G529" s="24"/>
      <c r="H529" s="24">
        <f>H528+'cash book - Argenta'!$F529-'cash book - Argenta'!$G529</f>
        <v>5025</v>
      </c>
    </row>
    <row r="530" spans="1:8" ht="34.5" customHeight="1" x14ac:dyDescent="0.25">
      <c r="A530" s="30"/>
      <c r="B530" s="22">
        <f>MONTH('cash book - Argenta'!$A530)</f>
        <v>1</v>
      </c>
      <c r="C530" s="23">
        <f t="shared" si="3"/>
        <v>1900</v>
      </c>
      <c r="D530" s="23"/>
      <c r="E530" s="22"/>
      <c r="F530" s="24"/>
      <c r="G530" s="24"/>
      <c r="H530" s="24">
        <f>H529+'cash book - Argenta'!$F530-'cash book - Argenta'!$G530</f>
        <v>5025</v>
      </c>
    </row>
    <row r="531" spans="1:8" ht="33" customHeight="1" x14ac:dyDescent="0.25">
      <c r="A531" s="30"/>
      <c r="B531" s="22">
        <f>MONTH('cash book - Argenta'!$A531)</f>
        <v>1</v>
      </c>
      <c r="C531" s="23">
        <f t="shared" si="3"/>
        <v>1900</v>
      </c>
      <c r="D531" s="23"/>
      <c r="E531" s="22"/>
      <c r="F531" s="24"/>
      <c r="G531" s="24"/>
      <c r="H531" s="24">
        <f>H530+'cash book - Argenta'!$F531-'cash book - Argenta'!$G531</f>
        <v>5025</v>
      </c>
    </row>
    <row r="532" spans="1:8" ht="34.5" customHeight="1" x14ac:dyDescent="0.25">
      <c r="A532" s="30"/>
      <c r="B532" s="22">
        <f>MONTH('cash book - Argenta'!$A532)</f>
        <v>1</v>
      </c>
      <c r="C532" s="23">
        <f t="shared" si="3"/>
        <v>1900</v>
      </c>
      <c r="D532" s="23"/>
      <c r="E532" s="22"/>
      <c r="F532" s="24"/>
      <c r="G532" s="24"/>
      <c r="H532" s="24">
        <f>H531+'cash book - Argenta'!$F532-'cash book - Argenta'!$G532</f>
        <v>5025</v>
      </c>
    </row>
    <row r="533" spans="1:8" ht="34.5" customHeight="1" x14ac:dyDescent="0.25">
      <c r="A533" s="30"/>
      <c r="B533" s="22">
        <f>MONTH('cash book - Argenta'!$A533)</f>
        <v>1</v>
      </c>
      <c r="C533" s="23">
        <f t="shared" si="3"/>
        <v>1900</v>
      </c>
      <c r="D533" s="23"/>
      <c r="E533" s="22"/>
      <c r="F533" s="24"/>
      <c r="G533" s="24"/>
      <c r="H533" s="24">
        <f>H532+'cash book - Argenta'!$F533-'cash book - Argenta'!$G533</f>
        <v>5025</v>
      </c>
    </row>
    <row r="534" spans="1:8" ht="34.5" customHeight="1" x14ac:dyDescent="0.25">
      <c r="A534" s="30"/>
      <c r="B534" s="22">
        <f>MONTH('cash book - Argenta'!$A534)</f>
        <v>1</v>
      </c>
      <c r="C534" s="23">
        <f t="shared" si="3"/>
        <v>1900</v>
      </c>
      <c r="D534" s="23"/>
      <c r="E534" s="22"/>
      <c r="F534" s="24"/>
      <c r="G534" s="24"/>
      <c r="H534" s="24">
        <f>H533+'cash book - Argenta'!$F534-'cash book - Argenta'!$G534</f>
        <v>5025</v>
      </c>
    </row>
    <row r="535" spans="1:8" ht="33" customHeight="1" x14ac:dyDescent="0.25">
      <c r="A535" s="30"/>
      <c r="B535" s="22">
        <f>MONTH('cash book - Argenta'!$A535)</f>
        <v>1</v>
      </c>
      <c r="C535" s="23">
        <f t="shared" si="3"/>
        <v>1900</v>
      </c>
      <c r="D535" s="23"/>
      <c r="E535" s="22"/>
      <c r="F535" s="24"/>
      <c r="G535" s="24"/>
      <c r="H535" s="24">
        <f>H534+'cash book - Argenta'!$F535-'cash book - Argenta'!$G535</f>
        <v>5025</v>
      </c>
    </row>
    <row r="536" spans="1:8" ht="34.5" customHeight="1" x14ac:dyDescent="0.25">
      <c r="A536" s="30"/>
      <c r="B536" s="22">
        <f>MONTH('cash book - Argenta'!$A536)</f>
        <v>1</v>
      </c>
      <c r="C536" s="23">
        <f t="shared" si="3"/>
        <v>1900</v>
      </c>
      <c r="D536" s="23"/>
      <c r="E536" s="22"/>
      <c r="F536" s="24"/>
      <c r="G536" s="24"/>
      <c r="H536" s="24">
        <f>H535+'cash book - Argenta'!$F536-'cash book - Argenta'!$G536</f>
        <v>5025</v>
      </c>
    </row>
    <row r="537" spans="1:8" ht="34.5" customHeight="1" x14ac:dyDescent="0.25">
      <c r="A537" s="30"/>
      <c r="B537" s="22">
        <f>MONTH('cash book - Argenta'!$A537)</f>
        <v>1</v>
      </c>
      <c r="C537" s="23">
        <f t="shared" si="3"/>
        <v>1900</v>
      </c>
      <c r="D537" s="23"/>
      <c r="E537" s="22"/>
      <c r="F537" s="24"/>
      <c r="G537" s="24"/>
      <c r="H537" s="24">
        <f>H536+'cash book - Argenta'!$F537-'cash book - Argenta'!$G537</f>
        <v>5025</v>
      </c>
    </row>
    <row r="538" spans="1:8" ht="34.5" customHeight="1" x14ac:dyDescent="0.25">
      <c r="A538" s="30"/>
      <c r="B538" s="22">
        <f>MONTH('cash book - Argenta'!$A538)</f>
        <v>1</v>
      </c>
      <c r="C538" s="23">
        <f t="shared" si="3"/>
        <v>1900</v>
      </c>
      <c r="D538" s="23"/>
      <c r="E538" s="22"/>
      <c r="F538" s="24"/>
      <c r="G538" s="24"/>
      <c r="H538" s="24">
        <f>H537+'cash book - Argenta'!$F538-'cash book - Argenta'!$G538</f>
        <v>5025</v>
      </c>
    </row>
    <row r="539" spans="1:8" ht="34.5" customHeight="1" x14ac:dyDescent="0.25">
      <c r="A539" s="30"/>
      <c r="B539" s="22">
        <f>MONTH('cash book - Argenta'!$A539)</f>
        <v>1</v>
      </c>
      <c r="C539" s="23">
        <f t="shared" si="3"/>
        <v>1900</v>
      </c>
      <c r="D539" s="23"/>
      <c r="E539" s="22"/>
      <c r="F539" s="24"/>
      <c r="G539" s="24"/>
      <c r="H539" s="24">
        <f>H538+'cash book - Argenta'!$F539-'cash book - Argenta'!$G539</f>
        <v>5025</v>
      </c>
    </row>
    <row r="540" spans="1:8" ht="34.5" customHeight="1" x14ac:dyDescent="0.25">
      <c r="A540" s="30"/>
      <c r="B540" s="22">
        <f>MONTH('cash book - Argenta'!$A540)</f>
        <v>1</v>
      </c>
      <c r="C540" s="23">
        <f t="shared" si="3"/>
        <v>1900</v>
      </c>
      <c r="D540" s="23"/>
      <c r="E540" s="22"/>
      <c r="F540" s="24"/>
      <c r="G540" s="24"/>
      <c r="H540" s="24">
        <f>H539+'cash book - Argenta'!$F540-'cash book - Argenta'!$G540</f>
        <v>5025</v>
      </c>
    </row>
    <row r="541" spans="1:8" ht="33" customHeight="1" x14ac:dyDescent="0.25">
      <c r="A541" s="30"/>
      <c r="B541" s="22">
        <f>MONTH('cash book - Argenta'!$A541)</f>
        <v>1</v>
      </c>
      <c r="C541" s="23">
        <f t="shared" si="3"/>
        <v>1900</v>
      </c>
      <c r="D541" s="23"/>
      <c r="E541" s="22"/>
      <c r="F541" s="24"/>
      <c r="G541" s="24"/>
      <c r="H541" s="24">
        <f>H540+'cash book - Argenta'!$F541-'cash book - Argenta'!$G541</f>
        <v>5025</v>
      </c>
    </row>
    <row r="542" spans="1:8" ht="34.5" customHeight="1" x14ac:dyDescent="0.25">
      <c r="A542" s="30"/>
      <c r="B542" s="22">
        <f>MONTH('cash book - Argenta'!$A542)</f>
        <v>1</v>
      </c>
      <c r="C542" s="23">
        <f t="shared" si="3"/>
        <v>1900</v>
      </c>
      <c r="D542" s="23"/>
      <c r="E542" s="22"/>
      <c r="F542" s="24"/>
      <c r="G542" s="24"/>
      <c r="H542" s="24">
        <f>H541+'cash book - Argenta'!$F542-'cash book - Argenta'!$G542</f>
        <v>5025</v>
      </c>
    </row>
    <row r="543" spans="1:8" ht="34.5" customHeight="1" x14ac:dyDescent="0.25">
      <c r="A543" s="30"/>
      <c r="B543" s="22">
        <f>MONTH('cash book - Argenta'!$A543)</f>
        <v>1</v>
      </c>
      <c r="C543" s="23">
        <f t="shared" si="3"/>
        <v>1900</v>
      </c>
      <c r="D543" s="23"/>
      <c r="E543" s="22"/>
      <c r="F543" s="24"/>
      <c r="G543" s="24"/>
      <c r="H543" s="24">
        <f>H542+'cash book - Argenta'!$F543-'cash book - Argenta'!$G543</f>
        <v>5025</v>
      </c>
    </row>
    <row r="544" spans="1:8" ht="34.5" customHeight="1" x14ac:dyDescent="0.25">
      <c r="A544" s="30"/>
      <c r="B544" s="22">
        <f>MONTH('cash book - Argenta'!$A544)</f>
        <v>1</v>
      </c>
      <c r="C544" s="23">
        <f t="shared" si="3"/>
        <v>1900</v>
      </c>
      <c r="D544" s="23"/>
      <c r="E544" s="22"/>
      <c r="F544" s="24"/>
      <c r="G544" s="24"/>
      <c r="H544" s="24">
        <f>H543+'cash book - Argenta'!$F544-'cash book - Argenta'!$G544</f>
        <v>5025</v>
      </c>
    </row>
    <row r="545" spans="1:8" ht="34.5" customHeight="1" x14ac:dyDescent="0.25">
      <c r="A545" s="30"/>
      <c r="B545" s="22">
        <f>MONTH('cash book - Argenta'!$A545)</f>
        <v>1</v>
      </c>
      <c r="C545" s="23">
        <f t="shared" si="3"/>
        <v>1900</v>
      </c>
      <c r="D545" s="23"/>
      <c r="E545" s="22"/>
      <c r="F545" s="24"/>
      <c r="G545" s="24"/>
      <c r="H545" s="24">
        <f>H544+'cash book - Argenta'!$F545-'cash book - Argenta'!$G545</f>
        <v>5025</v>
      </c>
    </row>
    <row r="546" spans="1:8" ht="34.5" customHeight="1" x14ac:dyDescent="0.25">
      <c r="A546" s="30"/>
      <c r="B546" s="22">
        <f>MONTH('cash book - Argenta'!$A546)</f>
        <v>1</v>
      </c>
      <c r="C546" s="23">
        <f t="shared" si="3"/>
        <v>1900</v>
      </c>
      <c r="D546" s="23"/>
      <c r="E546" s="22"/>
      <c r="F546" s="24"/>
      <c r="G546" s="24"/>
      <c r="H546" s="24">
        <f>H545+'cash book - Argenta'!$F546-'cash book - Argenta'!$G546</f>
        <v>5025</v>
      </c>
    </row>
    <row r="547" spans="1:8" ht="34.5" customHeight="1" x14ac:dyDescent="0.25">
      <c r="A547" s="30"/>
      <c r="B547" s="22">
        <f>MONTH('cash book - Argenta'!$A547)</f>
        <v>1</v>
      </c>
      <c r="C547" s="23">
        <f t="shared" si="3"/>
        <v>1900</v>
      </c>
      <c r="D547" s="23"/>
      <c r="E547" s="22"/>
      <c r="F547" s="24"/>
      <c r="G547" s="24"/>
      <c r="H547" s="24">
        <f>H546+'cash book - Argenta'!$F547-'cash book - Argenta'!$G547</f>
        <v>5025</v>
      </c>
    </row>
    <row r="548" spans="1:8" ht="33" customHeight="1" x14ac:dyDescent="0.25">
      <c r="A548" s="30"/>
      <c r="B548" s="22">
        <f>MONTH('cash book - Argenta'!$A548)</f>
        <v>1</v>
      </c>
      <c r="C548" s="23">
        <f t="shared" si="3"/>
        <v>1900</v>
      </c>
      <c r="D548" s="23"/>
      <c r="E548" s="22"/>
      <c r="F548" s="24"/>
      <c r="G548" s="24"/>
      <c r="H548" s="24">
        <f>H547+'cash book - Argenta'!$F548-'cash book - Argenta'!$G548</f>
        <v>5025</v>
      </c>
    </row>
    <row r="549" spans="1:8" ht="34.5" customHeight="1" x14ac:dyDescent="0.25">
      <c r="A549" s="30"/>
      <c r="B549" s="22">
        <f>MONTH('cash book - Argenta'!$A549)</f>
        <v>1</v>
      </c>
      <c r="C549" s="23">
        <f t="shared" si="3"/>
        <v>1900</v>
      </c>
      <c r="D549" s="23"/>
      <c r="E549" s="22"/>
      <c r="F549" s="24"/>
      <c r="G549" s="24"/>
      <c r="H549" s="24">
        <f>H548+'cash book - Argenta'!$F549-'cash book - Argenta'!$G549</f>
        <v>5025</v>
      </c>
    </row>
    <row r="550" spans="1:8" ht="34.5" customHeight="1" x14ac:dyDescent="0.25">
      <c r="A550" s="30"/>
      <c r="B550" s="22">
        <f>MONTH('cash book - Argenta'!$A550)</f>
        <v>1</v>
      </c>
      <c r="C550" s="23">
        <f t="shared" si="3"/>
        <v>1900</v>
      </c>
      <c r="D550" s="23"/>
      <c r="E550" s="22"/>
      <c r="F550" s="24"/>
      <c r="G550" s="24"/>
      <c r="H550" s="24">
        <f>H549+'cash book - Argenta'!$F550-'cash book - Argenta'!$G550</f>
        <v>5025</v>
      </c>
    </row>
    <row r="551" spans="1:8" ht="34.5" customHeight="1" x14ac:dyDescent="0.25">
      <c r="A551" s="30"/>
      <c r="B551" s="22">
        <f>MONTH('cash book - Argenta'!$A551)</f>
        <v>1</v>
      </c>
      <c r="C551" s="23">
        <f t="shared" si="3"/>
        <v>1900</v>
      </c>
      <c r="D551" s="23"/>
      <c r="E551" s="22"/>
      <c r="F551" s="24"/>
      <c r="G551" s="24"/>
      <c r="H551" s="24">
        <f>H550+'cash book - Argenta'!$F551-'cash book - Argenta'!$G551</f>
        <v>5025</v>
      </c>
    </row>
    <row r="552" spans="1:8" ht="34.5" customHeight="1" x14ac:dyDescent="0.25">
      <c r="A552" s="30"/>
      <c r="B552" s="22">
        <f>MONTH('cash book - Argenta'!$A552)</f>
        <v>1</v>
      </c>
      <c r="C552" s="23">
        <f t="shared" si="3"/>
        <v>1900</v>
      </c>
      <c r="D552" s="23"/>
      <c r="E552" s="22"/>
      <c r="F552" s="24"/>
      <c r="G552" s="24"/>
      <c r="H552" s="24">
        <f>H551+'cash book - Argenta'!$F552-'cash book - Argenta'!$G552</f>
        <v>5025</v>
      </c>
    </row>
    <row r="553" spans="1:8" ht="34.5" customHeight="1" x14ac:dyDescent="0.25">
      <c r="A553" s="30"/>
      <c r="B553" s="22">
        <f>MONTH('cash book - Argenta'!$A553)</f>
        <v>1</v>
      </c>
      <c r="C553" s="23">
        <f t="shared" si="3"/>
        <v>1900</v>
      </c>
      <c r="D553" s="23"/>
      <c r="E553" s="22"/>
      <c r="F553" s="24"/>
      <c r="G553" s="24"/>
      <c r="H553" s="24">
        <f>H552+'cash book - Argenta'!$F553-'cash book - Argenta'!$G553</f>
        <v>5025</v>
      </c>
    </row>
    <row r="554" spans="1:8" ht="33" customHeight="1" x14ac:dyDescent="0.25">
      <c r="A554" s="30"/>
      <c r="B554" s="22">
        <f>MONTH('cash book - Argenta'!$A554)</f>
        <v>1</v>
      </c>
      <c r="C554" s="23">
        <f t="shared" si="3"/>
        <v>1900</v>
      </c>
      <c r="D554" s="23"/>
      <c r="E554" s="22"/>
      <c r="F554" s="24"/>
      <c r="G554" s="24"/>
      <c r="H554" s="24">
        <f>H553+'cash book - Argenta'!$F554-'cash book - Argenta'!$G554</f>
        <v>5025</v>
      </c>
    </row>
    <row r="555" spans="1:8" ht="34.5" customHeight="1" x14ac:dyDescent="0.25">
      <c r="A555" s="30"/>
      <c r="B555" s="22">
        <f>MONTH('cash book - Argenta'!$A555)</f>
        <v>1</v>
      </c>
      <c r="C555" s="23">
        <f t="shared" si="3"/>
        <v>1900</v>
      </c>
      <c r="D555" s="23"/>
      <c r="E555" s="22"/>
      <c r="F555" s="24"/>
      <c r="G555" s="24"/>
      <c r="H555" s="24">
        <f>H554+'cash book - Argenta'!$F555-'cash book - Argenta'!$G555</f>
        <v>5025</v>
      </c>
    </row>
    <row r="556" spans="1:8" ht="33" customHeight="1" x14ac:dyDescent="0.25">
      <c r="A556" s="30"/>
      <c r="B556" s="22">
        <f>MONTH('cash book - Argenta'!$A556)</f>
        <v>1</v>
      </c>
      <c r="C556" s="23">
        <f t="shared" si="3"/>
        <v>1900</v>
      </c>
      <c r="D556" s="23"/>
      <c r="E556" s="22"/>
      <c r="F556" s="24"/>
      <c r="G556" s="24"/>
      <c r="H556" s="24">
        <f>H555+'cash book - Argenta'!$F556-'cash book - Argenta'!$G556</f>
        <v>5025</v>
      </c>
    </row>
    <row r="557" spans="1:8" ht="34.5" customHeight="1" x14ac:dyDescent="0.25">
      <c r="A557" s="30"/>
      <c r="B557" s="22">
        <f>MONTH('cash book - Argenta'!$A557)</f>
        <v>1</v>
      </c>
      <c r="C557" s="23">
        <f t="shared" si="3"/>
        <v>1900</v>
      </c>
      <c r="D557" s="23"/>
      <c r="E557" s="22"/>
      <c r="F557" s="24"/>
      <c r="G557" s="24"/>
      <c r="H557" s="24">
        <f>H556+'cash book - Argenta'!$F557-'cash book - Argenta'!$G557</f>
        <v>5025</v>
      </c>
    </row>
    <row r="558" spans="1:8" ht="34.5" customHeight="1" x14ac:dyDescent="0.25">
      <c r="A558" s="30"/>
      <c r="B558" s="22">
        <f>MONTH('cash book - Argenta'!$A558)</f>
        <v>1</v>
      </c>
      <c r="C558" s="23">
        <f t="shared" si="3"/>
        <v>1900</v>
      </c>
      <c r="D558" s="23"/>
      <c r="E558" s="22"/>
      <c r="F558" s="24"/>
      <c r="G558" s="24"/>
      <c r="H558" s="24">
        <f>H557+'cash book - Argenta'!$F558-'cash book - Argenta'!$G558</f>
        <v>5025</v>
      </c>
    </row>
    <row r="559" spans="1:8" ht="34.5" customHeight="1" x14ac:dyDescent="0.25">
      <c r="A559" s="30"/>
      <c r="B559" s="22">
        <f>MONTH('cash book - Argenta'!$A559)</f>
        <v>1</v>
      </c>
      <c r="C559" s="23">
        <f t="shared" si="3"/>
        <v>1900</v>
      </c>
      <c r="D559" s="23"/>
      <c r="E559" s="22"/>
      <c r="F559" s="24"/>
      <c r="G559" s="24"/>
      <c r="H559" s="24">
        <f>H558+'cash book - Argenta'!$F559-'cash book - Argenta'!$G559</f>
        <v>5025</v>
      </c>
    </row>
    <row r="560" spans="1:8" ht="33" customHeight="1" x14ac:dyDescent="0.25">
      <c r="A560" s="30"/>
      <c r="B560" s="22">
        <f>MONTH('cash book - Argenta'!$A560)</f>
        <v>1</v>
      </c>
      <c r="C560" s="23">
        <f t="shared" si="3"/>
        <v>1900</v>
      </c>
      <c r="D560" s="23"/>
      <c r="E560" s="22"/>
      <c r="F560" s="24"/>
      <c r="G560" s="24"/>
      <c r="H560" s="24">
        <f>H559+'cash book - Argenta'!$F560-'cash book - Argenta'!$G560</f>
        <v>5025</v>
      </c>
    </row>
    <row r="561" spans="1:8" ht="34.5" customHeight="1" x14ac:dyDescent="0.25">
      <c r="A561" s="30"/>
      <c r="B561" s="22">
        <f>MONTH('cash book - Argenta'!$A561)</f>
        <v>1</v>
      </c>
      <c r="C561" s="23">
        <f t="shared" si="3"/>
        <v>1900</v>
      </c>
      <c r="D561" s="23"/>
      <c r="E561" s="22"/>
      <c r="F561" s="24"/>
      <c r="G561" s="24"/>
      <c r="H561" s="24">
        <f>H560+'cash book - Argenta'!$F561-'cash book - Argenta'!$G561</f>
        <v>5025</v>
      </c>
    </row>
    <row r="562" spans="1:8" ht="34.5" customHeight="1" x14ac:dyDescent="0.25">
      <c r="A562" s="30"/>
      <c r="B562" s="22">
        <f>MONTH('cash book - Argenta'!$A562)</f>
        <v>1</v>
      </c>
      <c r="C562" s="23">
        <f t="shared" si="3"/>
        <v>1900</v>
      </c>
      <c r="D562" s="23"/>
      <c r="E562" s="22"/>
      <c r="F562" s="24"/>
      <c r="G562" s="24"/>
      <c r="H562" s="24">
        <f>H561+'cash book - Argenta'!$F562-'cash book - Argenta'!$G562</f>
        <v>5025</v>
      </c>
    </row>
    <row r="563" spans="1:8" ht="34.5" customHeight="1" x14ac:dyDescent="0.25">
      <c r="A563" s="30"/>
      <c r="B563" s="22">
        <f>MONTH('cash book - Argenta'!$A563)</f>
        <v>1</v>
      </c>
      <c r="C563" s="23">
        <f t="shared" si="3"/>
        <v>1900</v>
      </c>
      <c r="D563" s="23"/>
      <c r="E563" s="22"/>
      <c r="F563" s="24"/>
      <c r="G563" s="24"/>
      <c r="H563" s="24">
        <f>H562+'cash book - Argenta'!$F563-'cash book - Argenta'!$G563</f>
        <v>5025</v>
      </c>
    </row>
    <row r="564" spans="1:8" ht="34.5" customHeight="1" x14ac:dyDescent="0.25">
      <c r="A564" s="30"/>
      <c r="B564" s="22">
        <f>MONTH('cash book - Argenta'!$A564)</f>
        <v>1</v>
      </c>
      <c r="C564" s="23">
        <f t="shared" si="3"/>
        <v>1900</v>
      </c>
      <c r="D564" s="23"/>
      <c r="E564" s="22"/>
      <c r="F564" s="24"/>
      <c r="G564" s="24"/>
      <c r="H564" s="24">
        <f>H563+'cash book - Argenta'!$F564-'cash book - Argenta'!$G564</f>
        <v>5025</v>
      </c>
    </row>
    <row r="565" spans="1:8" ht="34.5" customHeight="1" x14ac:dyDescent="0.25">
      <c r="A565" s="30"/>
      <c r="B565" s="22">
        <f>MONTH('cash book - Argenta'!$A565)</f>
        <v>1</v>
      </c>
      <c r="C565" s="23">
        <f t="shared" si="3"/>
        <v>1900</v>
      </c>
      <c r="D565" s="23"/>
      <c r="E565" s="22"/>
      <c r="F565" s="24"/>
      <c r="G565" s="24"/>
      <c r="H565" s="24">
        <f>H564+'cash book - Argenta'!$F565-'cash book - Argenta'!$G565</f>
        <v>5025</v>
      </c>
    </row>
    <row r="566" spans="1:8" ht="33" customHeight="1" x14ac:dyDescent="0.25">
      <c r="A566" s="30"/>
      <c r="B566" s="22">
        <f>MONTH('cash book - Argenta'!$A566)</f>
        <v>1</v>
      </c>
      <c r="C566" s="23">
        <f t="shared" si="3"/>
        <v>1900</v>
      </c>
      <c r="D566" s="23"/>
      <c r="E566" s="22"/>
      <c r="F566" s="24"/>
      <c r="G566" s="24"/>
      <c r="H566" s="24">
        <f>H565+'cash book - Argenta'!$F566-'cash book - Argenta'!$G566</f>
        <v>5025</v>
      </c>
    </row>
    <row r="567" spans="1:8" ht="34.5" customHeight="1" x14ac:dyDescent="0.25">
      <c r="A567" s="30"/>
      <c r="B567" s="22">
        <f>MONTH('cash book - Argenta'!$A567)</f>
        <v>1</v>
      </c>
      <c r="C567" s="23">
        <f t="shared" si="3"/>
        <v>1900</v>
      </c>
      <c r="D567" s="23"/>
      <c r="E567" s="22"/>
      <c r="F567" s="24"/>
      <c r="G567" s="24"/>
      <c r="H567" s="24">
        <f>H566+'cash book - Argenta'!$F567-'cash book - Argenta'!$G567</f>
        <v>5025</v>
      </c>
    </row>
    <row r="568" spans="1:8" ht="34.5" customHeight="1" x14ac:dyDescent="0.25">
      <c r="A568" s="30"/>
      <c r="B568" s="22">
        <f>MONTH('cash book - Argenta'!$A568)</f>
        <v>1</v>
      </c>
      <c r="C568" s="23">
        <f t="shared" si="3"/>
        <v>1900</v>
      </c>
      <c r="D568" s="23"/>
      <c r="E568" s="22"/>
      <c r="F568" s="24"/>
      <c r="G568" s="24"/>
      <c r="H568" s="24">
        <f>H567+'cash book - Argenta'!$F568-'cash book - Argenta'!$G568</f>
        <v>5025</v>
      </c>
    </row>
    <row r="569" spans="1:8" ht="34.5" customHeight="1" x14ac:dyDescent="0.25">
      <c r="A569" s="30"/>
      <c r="B569" s="22">
        <f>MONTH('cash book - Argenta'!$A569)</f>
        <v>1</v>
      </c>
      <c r="C569" s="23">
        <f t="shared" si="3"/>
        <v>1900</v>
      </c>
      <c r="D569" s="23"/>
      <c r="E569" s="22"/>
      <c r="F569" s="24"/>
      <c r="G569" s="24"/>
      <c r="H569" s="24">
        <f>H568+'cash book - Argenta'!$F569-'cash book - Argenta'!$G569</f>
        <v>5025</v>
      </c>
    </row>
    <row r="570" spans="1:8" ht="34.5" customHeight="1" x14ac:dyDescent="0.25">
      <c r="A570" s="30"/>
      <c r="B570" s="22">
        <f>MONTH('cash book - Argenta'!$A570)</f>
        <v>1</v>
      </c>
      <c r="C570" s="23">
        <f t="shared" si="3"/>
        <v>1900</v>
      </c>
      <c r="D570" s="23"/>
      <c r="E570" s="22"/>
      <c r="F570" s="24"/>
      <c r="G570" s="24"/>
      <c r="H570" s="24">
        <f>H569+'cash book - Argenta'!$F570-'cash book - Argenta'!$G570</f>
        <v>5025</v>
      </c>
    </row>
    <row r="571" spans="1:8" ht="34.5" customHeight="1" x14ac:dyDescent="0.25">
      <c r="A571" s="30"/>
      <c r="B571" s="22">
        <f>MONTH('cash book - Argenta'!$A571)</f>
        <v>1</v>
      </c>
      <c r="C571" s="23">
        <f t="shared" si="3"/>
        <v>1900</v>
      </c>
      <c r="D571" s="23"/>
      <c r="E571" s="22"/>
      <c r="F571" s="24"/>
      <c r="G571" s="24"/>
      <c r="H571" s="24">
        <f>H570+'cash book - Argenta'!$F571-'cash book - Argenta'!$G571</f>
        <v>5025</v>
      </c>
    </row>
    <row r="572" spans="1:8" ht="34.5" customHeight="1" x14ac:dyDescent="0.25">
      <c r="A572" s="30"/>
      <c r="B572" s="22">
        <f>MONTH('cash book - Argenta'!$A572)</f>
        <v>1</v>
      </c>
      <c r="C572" s="23">
        <f t="shared" si="3"/>
        <v>1900</v>
      </c>
      <c r="D572" s="23"/>
      <c r="E572" s="22"/>
      <c r="F572" s="24"/>
      <c r="G572" s="24"/>
      <c r="H572" s="24">
        <f>H571+'cash book - Argenta'!$F572-'cash book - Argenta'!$G572</f>
        <v>5025</v>
      </c>
    </row>
    <row r="573" spans="1:8" ht="33" customHeight="1" x14ac:dyDescent="0.25">
      <c r="A573" s="30"/>
      <c r="B573" s="22">
        <f>MONTH('cash book - Argenta'!$A573)</f>
        <v>1</v>
      </c>
      <c r="C573" s="23">
        <f t="shared" si="3"/>
        <v>1900</v>
      </c>
      <c r="D573" s="23"/>
      <c r="E573" s="22"/>
      <c r="F573" s="24"/>
      <c r="G573" s="24"/>
      <c r="H573" s="24">
        <f>H572+'cash book - Argenta'!$F573-'cash book - Argenta'!$G573</f>
        <v>5025</v>
      </c>
    </row>
    <row r="574" spans="1:8" ht="34.5" customHeight="1" x14ac:dyDescent="0.25">
      <c r="A574" s="30"/>
      <c r="B574" s="22">
        <f>MONTH('cash book - Argenta'!$A574)</f>
        <v>1</v>
      </c>
      <c r="C574" s="23">
        <f t="shared" si="3"/>
        <v>1900</v>
      </c>
      <c r="D574" s="23"/>
      <c r="E574" s="22"/>
      <c r="F574" s="24"/>
      <c r="G574" s="24"/>
      <c r="H574" s="24">
        <f>H573+'cash book - Argenta'!$F574-'cash book - Argenta'!$G574</f>
        <v>5025</v>
      </c>
    </row>
    <row r="575" spans="1:8" ht="34.5" customHeight="1" x14ac:dyDescent="0.25">
      <c r="A575" s="30"/>
      <c r="B575" s="22">
        <f>MONTH('cash book - Argenta'!$A575)</f>
        <v>1</v>
      </c>
      <c r="C575" s="23">
        <f t="shared" si="3"/>
        <v>1900</v>
      </c>
      <c r="D575" s="23"/>
      <c r="E575" s="22"/>
      <c r="F575" s="24"/>
      <c r="G575" s="24"/>
      <c r="H575" s="24">
        <f>H574+'cash book - Argenta'!$F575-'cash book - Argenta'!$G575</f>
        <v>5025</v>
      </c>
    </row>
    <row r="576" spans="1:8" ht="34.5" customHeight="1" x14ac:dyDescent="0.25">
      <c r="A576" s="30"/>
      <c r="B576" s="22">
        <f>MONTH('cash book - Argenta'!$A576)</f>
        <v>1</v>
      </c>
      <c r="C576" s="23">
        <f t="shared" si="3"/>
        <v>1900</v>
      </c>
      <c r="D576" s="23"/>
      <c r="E576" s="22"/>
      <c r="F576" s="24"/>
      <c r="G576" s="24"/>
      <c r="H576" s="24">
        <f>H575+'cash book - Argenta'!$F576-'cash book - Argenta'!$G576</f>
        <v>5025</v>
      </c>
    </row>
    <row r="577" spans="1:8" ht="34.5" customHeight="1" x14ac:dyDescent="0.25">
      <c r="A577" s="30"/>
      <c r="B577" s="22">
        <f>MONTH('cash book - Argenta'!$A577)</f>
        <v>1</v>
      </c>
      <c r="C577" s="23">
        <f t="shared" si="3"/>
        <v>1900</v>
      </c>
      <c r="D577" s="23"/>
      <c r="E577" s="22"/>
      <c r="F577" s="24"/>
      <c r="G577" s="24"/>
      <c r="H577" s="24">
        <f>H576+'cash book - Argenta'!$F577-'cash book - Argenta'!$G577</f>
        <v>5025</v>
      </c>
    </row>
    <row r="578" spans="1:8" ht="34.5" customHeight="1" x14ac:dyDescent="0.25">
      <c r="A578" s="30"/>
      <c r="B578" s="22">
        <f>MONTH('cash book - Argenta'!$A578)</f>
        <v>1</v>
      </c>
      <c r="C578" s="23">
        <f t="shared" si="3"/>
        <v>1900</v>
      </c>
      <c r="D578" s="23"/>
      <c r="E578" s="22"/>
      <c r="F578" s="24"/>
      <c r="G578" s="24"/>
      <c r="H578" s="24">
        <f>H577+'cash book - Argenta'!$F578-'cash book - Argenta'!$G578</f>
        <v>5025</v>
      </c>
    </row>
    <row r="579" spans="1:8" ht="33" customHeight="1" x14ac:dyDescent="0.25">
      <c r="A579" s="30"/>
      <c r="B579" s="22">
        <f>MONTH('cash book - Argenta'!$A579)</f>
        <v>1</v>
      </c>
      <c r="C579" s="23">
        <f t="shared" si="3"/>
        <v>1900</v>
      </c>
      <c r="D579" s="23"/>
      <c r="E579" s="22"/>
      <c r="F579" s="24"/>
      <c r="G579" s="24"/>
      <c r="H579" s="24">
        <f>H578+'cash book - Argenta'!$F579-'cash book - Argenta'!$G579</f>
        <v>5025</v>
      </c>
    </row>
    <row r="580" spans="1:8" ht="34.5" customHeight="1" x14ac:dyDescent="0.25">
      <c r="A580" s="30"/>
      <c r="B580" s="22">
        <f>MONTH('cash book - Argenta'!$A580)</f>
        <v>1</v>
      </c>
      <c r="C580" s="23">
        <f t="shared" si="3"/>
        <v>1900</v>
      </c>
      <c r="D580" s="23"/>
      <c r="E580" s="22"/>
      <c r="F580" s="24"/>
      <c r="G580" s="24"/>
      <c r="H580" s="24">
        <f>H579+'cash book - Argenta'!$F580-'cash book - Argenta'!$G580</f>
        <v>5025</v>
      </c>
    </row>
    <row r="581" spans="1:8" ht="34.5" customHeight="1" x14ac:dyDescent="0.25">
      <c r="A581" s="30"/>
      <c r="B581" s="22">
        <f>MONTH('cash book - Argenta'!$A581)</f>
        <v>1</v>
      </c>
      <c r="C581" s="23">
        <f t="shared" si="3"/>
        <v>1900</v>
      </c>
      <c r="D581" s="23"/>
      <c r="E581" s="22"/>
      <c r="F581" s="24"/>
      <c r="G581" s="24"/>
      <c r="H581" s="24">
        <f>H580+'cash book - Argenta'!$F581-'cash book - Argenta'!$G581</f>
        <v>5025</v>
      </c>
    </row>
    <row r="582" spans="1:8" ht="34.5" customHeight="1" x14ac:dyDescent="0.25">
      <c r="A582" s="30"/>
      <c r="B582" s="22">
        <f>MONTH('cash book - Argenta'!$A582)</f>
        <v>1</v>
      </c>
      <c r="C582" s="23">
        <f t="shared" si="3"/>
        <v>1900</v>
      </c>
      <c r="D582" s="23"/>
      <c r="E582" s="22"/>
      <c r="F582" s="24"/>
      <c r="G582" s="24"/>
      <c r="H582" s="24">
        <f>H581+'cash book - Argenta'!$F582-'cash book - Argenta'!$G582</f>
        <v>5025</v>
      </c>
    </row>
    <row r="583" spans="1:8" ht="34.5" customHeight="1" x14ac:dyDescent="0.25">
      <c r="A583" s="30"/>
      <c r="B583" s="22">
        <f>MONTH('cash book - Argenta'!$A583)</f>
        <v>1</v>
      </c>
      <c r="C583" s="23">
        <f t="shared" si="3"/>
        <v>1900</v>
      </c>
      <c r="D583" s="23"/>
      <c r="E583" s="22"/>
      <c r="F583" s="24"/>
      <c r="G583" s="24"/>
      <c r="H583" s="24">
        <f>H582+'cash book - Argenta'!$F583-'cash book - Argenta'!$G583</f>
        <v>5025</v>
      </c>
    </row>
    <row r="584" spans="1:8" ht="34.5" customHeight="1" x14ac:dyDescent="0.25">
      <c r="A584" s="31"/>
      <c r="B584" s="32">
        <f>MONTH('cash book - Argenta'!$A584)</f>
        <v>1</v>
      </c>
      <c r="C584" s="33">
        <f t="shared" si="3"/>
        <v>1900</v>
      </c>
      <c r="D584" s="33"/>
      <c r="E584" s="32"/>
      <c r="F584" s="34"/>
      <c r="G584" s="34"/>
      <c r="H584" s="34">
        <f>H583+'cash book - Argenta'!$F584-'cash book - Argenta'!$G584</f>
        <v>5025</v>
      </c>
    </row>
    <row r="585" spans="1:8" ht="15.75" x14ac:dyDescent="0.25">
      <c r="A585" s="13"/>
      <c r="B585" s="9"/>
      <c r="C585" s="11"/>
      <c r="D585" s="11"/>
      <c r="E585" s="9"/>
      <c r="F585" s="10"/>
      <c r="G585" s="10"/>
      <c r="H585" s="10"/>
    </row>
    <row r="586" spans="1:8" ht="15.75" x14ac:dyDescent="0.25">
      <c r="A586" s="13"/>
      <c r="B586" s="9"/>
      <c r="C586" s="11"/>
      <c r="D586" s="11"/>
      <c r="E586" s="9"/>
      <c r="F586" s="10"/>
      <c r="G586" s="10"/>
      <c r="H586" s="10"/>
    </row>
    <row r="587" spans="1:8" ht="15.75" x14ac:dyDescent="0.25">
      <c r="A587" s="13"/>
      <c r="B587" s="9"/>
      <c r="C587" s="11"/>
      <c r="D587" s="11"/>
      <c r="E587" s="9"/>
      <c r="F587" s="10"/>
      <c r="G587" s="10"/>
      <c r="H587" s="10"/>
    </row>
    <row r="588" spans="1:8" ht="15.75" x14ac:dyDescent="0.25">
      <c r="A588" s="13"/>
      <c r="B588" s="9"/>
      <c r="C588" s="11"/>
      <c r="D588" s="11"/>
      <c r="E588" s="9"/>
      <c r="F588" s="10"/>
      <c r="G588" s="10"/>
      <c r="H588" s="10"/>
    </row>
    <row r="589" spans="1:8" ht="15.75" x14ac:dyDescent="0.25">
      <c r="A589" s="13"/>
      <c r="B589" s="9"/>
      <c r="C589" s="11"/>
      <c r="D589" s="11"/>
      <c r="E589" s="9"/>
      <c r="F589" s="10"/>
      <c r="G589" s="10"/>
      <c r="H589" s="10"/>
    </row>
    <row r="590" spans="1:8" ht="15.75" x14ac:dyDescent="0.25">
      <c r="A590" s="13"/>
      <c r="B590" s="9"/>
      <c r="C590" s="11"/>
      <c r="D590" s="11"/>
      <c r="E590" s="9"/>
      <c r="F590" s="10"/>
      <c r="G590" s="10"/>
      <c r="H590" s="10"/>
    </row>
    <row r="591" spans="1:8" ht="15.75" x14ac:dyDescent="0.25">
      <c r="A591" s="13"/>
      <c r="B591" s="9"/>
      <c r="C591" s="11"/>
      <c r="D591" s="11"/>
      <c r="E591" s="9"/>
      <c r="F591" s="10"/>
      <c r="G591" s="10"/>
      <c r="H591" s="10"/>
    </row>
    <row r="592" spans="1:8" ht="15.75" x14ac:dyDescent="0.25">
      <c r="A592" s="13"/>
      <c r="B592" s="9"/>
      <c r="C592" s="11"/>
      <c r="D592" s="11"/>
      <c r="E592" s="9"/>
      <c r="F592" s="10"/>
      <c r="G592" s="10"/>
      <c r="H592" s="10"/>
    </row>
    <row r="593" spans="1:8" ht="15.75" x14ac:dyDescent="0.25">
      <c r="A593" s="13"/>
      <c r="B593" s="9"/>
      <c r="C593" s="11"/>
      <c r="D593" s="11"/>
      <c r="E593" s="9"/>
      <c r="F593" s="10"/>
      <c r="G593" s="10"/>
      <c r="H593" s="10"/>
    </row>
    <row r="594" spans="1:8" ht="15.75" x14ac:dyDescent="0.25">
      <c r="A594" s="13"/>
      <c r="B594" s="9"/>
      <c r="C594" s="11"/>
      <c r="D594" s="11"/>
      <c r="E594" s="9"/>
      <c r="F594" s="10"/>
      <c r="G594" s="10"/>
      <c r="H594" s="10"/>
    </row>
    <row r="595" spans="1:8" ht="15.75" x14ac:dyDescent="0.25">
      <c r="A595" s="13"/>
      <c r="B595" s="9"/>
      <c r="C595" s="11"/>
      <c r="D595" s="11"/>
      <c r="E595" s="9"/>
      <c r="F595" s="10"/>
      <c r="G595" s="10"/>
      <c r="H595" s="10"/>
    </row>
    <row r="596" spans="1:8" ht="15.75" x14ac:dyDescent="0.25">
      <c r="A596" s="13"/>
      <c r="B596" s="9"/>
      <c r="C596" s="11"/>
      <c r="D596" s="11"/>
      <c r="E596" s="9"/>
      <c r="F596" s="10"/>
      <c r="G596" s="10"/>
      <c r="H596" s="10"/>
    </row>
    <row r="597" spans="1:8" ht="15.75" x14ac:dyDescent="0.25">
      <c r="A597" s="13"/>
      <c r="B597" s="9"/>
      <c r="C597" s="11"/>
      <c r="D597" s="11"/>
      <c r="E597" s="9"/>
      <c r="F597" s="10"/>
      <c r="G597" s="10"/>
      <c r="H597" s="10"/>
    </row>
    <row r="598" spans="1:8" ht="15.75" x14ac:dyDescent="0.25">
      <c r="A598" s="13"/>
      <c r="B598" s="9"/>
      <c r="C598" s="11"/>
      <c r="D598" s="11"/>
      <c r="E598" s="9"/>
      <c r="F598" s="10"/>
      <c r="G598" s="10"/>
      <c r="H598" s="10"/>
    </row>
    <row r="599" spans="1:8" ht="15.75" x14ac:dyDescent="0.25">
      <c r="A599" s="13"/>
      <c r="B599" s="9"/>
      <c r="C599" s="11"/>
      <c r="D599" s="11"/>
      <c r="E599" s="9"/>
      <c r="F599" s="10"/>
      <c r="G599" s="10"/>
      <c r="H599" s="10"/>
    </row>
    <row r="600" spans="1:8" ht="15.75" x14ac:dyDescent="0.25">
      <c r="A600" s="13"/>
      <c r="B600" s="9"/>
      <c r="C600" s="11"/>
      <c r="D600" s="11"/>
      <c r="E600" s="9"/>
      <c r="F600" s="10"/>
      <c r="G600" s="10"/>
      <c r="H600" s="10"/>
    </row>
    <row r="601" spans="1:8" ht="15.75" x14ac:dyDescent="0.25">
      <c r="A601" s="13"/>
      <c r="B601" s="9"/>
      <c r="C601" s="11"/>
      <c r="D601" s="11"/>
      <c r="E601" s="9"/>
      <c r="F601" s="10"/>
      <c r="G601" s="10"/>
      <c r="H601" s="10"/>
    </row>
    <row r="602" spans="1:8" ht="15.75" x14ac:dyDescent="0.25">
      <c r="A602" s="13"/>
      <c r="B602" s="9"/>
      <c r="C602" s="11"/>
      <c r="D602" s="11"/>
      <c r="E602" s="9"/>
      <c r="F602" s="10"/>
      <c r="G602" s="10"/>
      <c r="H602" s="10"/>
    </row>
    <row r="603" spans="1:8" ht="15.75" x14ac:dyDescent="0.25">
      <c r="A603" s="13"/>
      <c r="B603" s="9"/>
      <c r="C603" s="11"/>
      <c r="D603" s="11"/>
      <c r="E603" s="9"/>
      <c r="F603" s="10"/>
      <c r="G603" s="10"/>
      <c r="H603" s="10"/>
    </row>
    <row r="604" spans="1:8" ht="15.75" x14ac:dyDescent="0.25">
      <c r="A604" s="13"/>
      <c r="B604" s="9"/>
      <c r="C604" s="11"/>
      <c r="D604" s="11"/>
      <c r="E604" s="9"/>
      <c r="F604" s="10"/>
      <c r="G604" s="10"/>
      <c r="H604" s="10"/>
    </row>
    <row r="605" spans="1:8" ht="15.75" x14ac:dyDescent="0.25">
      <c r="A605" s="13"/>
      <c r="B605" s="9"/>
      <c r="C605" s="11"/>
      <c r="D605" s="11"/>
      <c r="E605" s="9"/>
      <c r="F605" s="10"/>
      <c r="G605" s="10"/>
      <c r="H605" s="10"/>
    </row>
    <row r="606" spans="1:8" ht="15.75" x14ac:dyDescent="0.25">
      <c r="A606" s="13"/>
      <c r="B606" s="9"/>
      <c r="C606" s="11"/>
      <c r="D606" s="11"/>
      <c r="E606" s="9"/>
      <c r="F606" s="10"/>
      <c r="G606" s="10"/>
      <c r="H606" s="10"/>
    </row>
    <row r="607" spans="1:8" ht="15.75" x14ac:dyDescent="0.25">
      <c r="A607" s="13"/>
      <c r="B607" s="9"/>
      <c r="C607" s="11"/>
      <c r="D607" s="11"/>
      <c r="E607" s="9"/>
      <c r="F607" s="10"/>
      <c r="G607" s="10"/>
      <c r="H607" s="10"/>
    </row>
    <row r="608" spans="1:8" ht="15.75" x14ac:dyDescent="0.25">
      <c r="A608" s="13"/>
      <c r="B608" s="9"/>
      <c r="C608" s="11"/>
      <c r="D608" s="11"/>
      <c r="E608" s="9"/>
      <c r="F608" s="10"/>
      <c r="G608" s="10"/>
      <c r="H608" s="10"/>
    </row>
    <row r="609" spans="1:8" ht="15.75" x14ac:dyDescent="0.25">
      <c r="A609" s="13"/>
      <c r="B609" s="9"/>
      <c r="C609" s="11"/>
      <c r="D609" s="11"/>
      <c r="E609" s="9"/>
      <c r="F609" s="10"/>
      <c r="G609" s="10"/>
      <c r="H609" s="10"/>
    </row>
    <row r="610" spans="1:8" ht="15.75" x14ac:dyDescent="0.25">
      <c r="A610" s="13"/>
      <c r="B610" s="9"/>
      <c r="C610" s="11"/>
      <c r="D610" s="11"/>
      <c r="E610" s="9"/>
      <c r="F610" s="10"/>
      <c r="G610" s="10"/>
      <c r="H610" s="10"/>
    </row>
    <row r="611" spans="1:8" ht="15.75" x14ac:dyDescent="0.25">
      <c r="A611" s="13"/>
      <c r="B611" s="9"/>
      <c r="C611" s="11"/>
      <c r="D611" s="11"/>
      <c r="E611" s="9"/>
      <c r="F611" s="10"/>
      <c r="G611" s="10"/>
      <c r="H611" s="10"/>
    </row>
    <row r="612" spans="1:8" ht="15.75" x14ac:dyDescent="0.25">
      <c r="A612" s="13"/>
      <c r="B612" s="9"/>
      <c r="C612" s="11"/>
      <c r="D612" s="11"/>
      <c r="E612" s="9"/>
      <c r="F612" s="10"/>
      <c r="G612" s="10"/>
      <c r="H612" s="10"/>
    </row>
    <row r="613" spans="1:8" ht="15.75" x14ac:dyDescent="0.25">
      <c r="A613" s="13"/>
      <c r="B613" s="9"/>
      <c r="C613" s="11"/>
      <c r="D613" s="11"/>
      <c r="E613" s="9"/>
      <c r="F613" s="10"/>
      <c r="G613" s="10"/>
      <c r="H613" s="10"/>
    </row>
    <row r="614" spans="1:8" ht="15.75" x14ac:dyDescent="0.25">
      <c r="A614" s="13"/>
      <c r="B614" s="9"/>
      <c r="C614" s="11"/>
      <c r="D614" s="11"/>
      <c r="E614" s="9"/>
      <c r="F614" s="10"/>
      <c r="G614" s="10"/>
      <c r="H614" s="10"/>
    </row>
    <row r="615" spans="1:8" ht="15.75" x14ac:dyDescent="0.25">
      <c r="A615" s="13"/>
      <c r="B615" s="9"/>
      <c r="C615" s="11"/>
      <c r="D615" s="11"/>
      <c r="E615" s="9"/>
      <c r="F615" s="10"/>
      <c r="G615" s="10"/>
      <c r="H615" s="10"/>
    </row>
    <row r="616" spans="1:8" ht="15.75" x14ac:dyDescent="0.25">
      <c r="A616" s="13"/>
      <c r="B616" s="9"/>
      <c r="C616" s="11"/>
      <c r="D616" s="11"/>
      <c r="E616" s="9"/>
      <c r="F616" s="10"/>
      <c r="G616" s="10"/>
      <c r="H616" s="10"/>
    </row>
    <row r="617" spans="1:8" ht="15.75" x14ac:dyDescent="0.25">
      <c r="A617" s="13"/>
      <c r="B617" s="9"/>
      <c r="C617" s="11"/>
      <c r="D617" s="11"/>
      <c r="E617" s="9"/>
      <c r="F617" s="10"/>
      <c r="G617" s="10"/>
      <c r="H617" s="10"/>
    </row>
    <row r="618" spans="1:8" ht="15.75" x14ac:dyDescent="0.25">
      <c r="A618" s="13"/>
      <c r="B618" s="9"/>
      <c r="C618" s="11"/>
      <c r="D618" s="11"/>
      <c r="E618" s="9"/>
      <c r="F618" s="10"/>
      <c r="G618" s="10"/>
      <c r="H618" s="10"/>
    </row>
    <row r="619" spans="1:8" ht="15.75" x14ac:dyDescent="0.25">
      <c r="A619" s="13"/>
      <c r="B619" s="9"/>
      <c r="C619" s="11"/>
      <c r="D619" s="11"/>
      <c r="E619" s="9"/>
      <c r="F619" s="10"/>
      <c r="G619" s="10"/>
      <c r="H619" s="10"/>
    </row>
    <row r="620" spans="1:8" ht="15.75" x14ac:dyDescent="0.25">
      <c r="A620" s="13"/>
      <c r="B620" s="9"/>
      <c r="C620" s="11"/>
      <c r="D620" s="11"/>
      <c r="E620" s="9"/>
      <c r="F620" s="10"/>
      <c r="G620" s="10"/>
      <c r="H620" s="10"/>
    </row>
    <row r="621" spans="1:8" ht="15.75" x14ac:dyDescent="0.25">
      <c r="A621" s="13"/>
      <c r="B621" s="9"/>
      <c r="C621" s="11"/>
      <c r="D621" s="11"/>
      <c r="E621" s="9"/>
      <c r="F621" s="10"/>
      <c r="G621" s="10"/>
      <c r="H621" s="10"/>
    </row>
    <row r="622" spans="1:8" ht="15.75" x14ac:dyDescent="0.25">
      <c r="A622" s="13"/>
      <c r="B622" s="9"/>
      <c r="C622" s="11"/>
      <c r="D622" s="11"/>
      <c r="E622" s="9"/>
      <c r="F622" s="10"/>
      <c r="G622" s="10"/>
      <c r="H622" s="10"/>
    </row>
    <row r="623" spans="1:8" ht="15.75" x14ac:dyDescent="0.25">
      <c r="A623" s="13"/>
      <c r="B623" s="9"/>
      <c r="C623" s="11"/>
      <c r="D623" s="11"/>
      <c r="E623" s="9"/>
      <c r="F623" s="10"/>
      <c r="G623" s="10"/>
      <c r="H623" s="10"/>
    </row>
    <row r="624" spans="1:8" ht="15.75" x14ac:dyDescent="0.25">
      <c r="A624" s="13"/>
      <c r="B624" s="9"/>
      <c r="C624" s="11"/>
      <c r="D624" s="11"/>
      <c r="E624" s="9"/>
      <c r="F624" s="10"/>
      <c r="G624" s="10"/>
      <c r="H624" s="10"/>
    </row>
    <row r="625" spans="1:8" ht="15.75" x14ac:dyDescent="0.25">
      <c r="A625" s="13"/>
      <c r="B625" s="9"/>
      <c r="C625" s="11"/>
      <c r="D625" s="11"/>
      <c r="E625" s="9"/>
      <c r="F625" s="10"/>
      <c r="G625" s="10"/>
      <c r="H625" s="10"/>
    </row>
    <row r="626" spans="1:8" ht="15.75" x14ac:dyDescent="0.25">
      <c r="A626" s="13"/>
      <c r="B626" s="9"/>
      <c r="C626" s="11"/>
      <c r="D626" s="11"/>
      <c r="E626" s="9"/>
      <c r="F626" s="10"/>
      <c r="G626" s="10"/>
      <c r="H626" s="10"/>
    </row>
    <row r="627" spans="1:8" ht="15.75" x14ac:dyDescent="0.25">
      <c r="A627" s="13"/>
      <c r="B627" s="9"/>
      <c r="C627" s="11"/>
      <c r="D627" s="11"/>
      <c r="E627" s="9"/>
      <c r="F627" s="10"/>
      <c r="G627" s="10"/>
      <c r="H627" s="10"/>
    </row>
    <row r="628" spans="1:8" ht="15.75" x14ac:dyDescent="0.25">
      <c r="A628" s="13"/>
      <c r="B628" s="9"/>
      <c r="C628" s="11"/>
      <c r="D628" s="11"/>
      <c r="E628" s="9"/>
      <c r="F628" s="10"/>
      <c r="G628" s="10"/>
      <c r="H628" s="10"/>
    </row>
    <row r="629" spans="1:8" ht="15.75" x14ac:dyDescent="0.25">
      <c r="A629" s="13"/>
      <c r="B629" s="9"/>
      <c r="C629" s="11"/>
      <c r="D629" s="11"/>
      <c r="E629" s="9"/>
      <c r="F629" s="10"/>
      <c r="G629" s="10"/>
      <c r="H629" s="10"/>
    </row>
    <row r="630" spans="1:8" ht="15.75" x14ac:dyDescent="0.25">
      <c r="A630" s="13"/>
      <c r="B630" s="9"/>
      <c r="C630" s="11"/>
      <c r="D630" s="11"/>
      <c r="E630" s="9"/>
      <c r="F630" s="10"/>
      <c r="G630" s="10"/>
      <c r="H630" s="10"/>
    </row>
    <row r="631" spans="1:8" ht="15.75" x14ac:dyDescent="0.25">
      <c r="A631" s="13"/>
      <c r="B631" s="9"/>
      <c r="C631" s="11"/>
      <c r="D631" s="11"/>
      <c r="E631" s="9"/>
      <c r="F631" s="10"/>
      <c r="G631" s="10"/>
      <c r="H631" s="10"/>
    </row>
    <row r="632" spans="1:8" ht="15.75" x14ac:dyDescent="0.25">
      <c r="A632" s="13"/>
      <c r="B632" s="9"/>
      <c r="C632" s="11"/>
      <c r="D632" s="11"/>
      <c r="E632" s="9"/>
      <c r="F632" s="10"/>
      <c r="G632" s="10"/>
      <c r="H632" s="10"/>
    </row>
    <row r="633" spans="1:8" ht="15.75" x14ac:dyDescent="0.25">
      <c r="A633" s="13"/>
      <c r="B633" s="9"/>
      <c r="C633" s="11"/>
      <c r="D633" s="11"/>
      <c r="E633" s="9"/>
      <c r="F633" s="10"/>
      <c r="G633" s="10"/>
      <c r="H633" s="10"/>
    </row>
    <row r="634" spans="1:8" ht="15.75" x14ac:dyDescent="0.25">
      <c r="A634" s="13"/>
      <c r="B634" s="9"/>
      <c r="C634" s="11"/>
      <c r="D634" s="11"/>
      <c r="E634" s="9"/>
      <c r="F634" s="10"/>
      <c r="G634" s="10"/>
      <c r="H634" s="10"/>
    </row>
    <row r="635" spans="1:8" ht="15.75" x14ac:dyDescent="0.25">
      <c r="A635" s="13"/>
      <c r="B635" s="9"/>
      <c r="C635" s="11"/>
      <c r="D635" s="11"/>
      <c r="E635" s="9"/>
      <c r="F635" s="10"/>
      <c r="G635" s="10"/>
      <c r="H635" s="10"/>
    </row>
    <row r="636" spans="1:8" ht="15.75" x14ac:dyDescent="0.25">
      <c r="A636" s="13"/>
      <c r="B636" s="9"/>
      <c r="C636" s="11"/>
      <c r="D636" s="11"/>
      <c r="E636" s="9"/>
      <c r="F636" s="10"/>
      <c r="G636" s="10"/>
      <c r="H636" s="10"/>
    </row>
    <row r="637" spans="1:8" ht="15.75" x14ac:dyDescent="0.25">
      <c r="A637" s="13"/>
      <c r="B637" s="9"/>
      <c r="C637" s="11"/>
      <c r="D637" s="11"/>
      <c r="E637" s="9"/>
      <c r="F637" s="10"/>
      <c r="G637" s="10"/>
      <c r="H637" s="10"/>
    </row>
    <row r="638" spans="1:8" ht="15.75" x14ac:dyDescent="0.25">
      <c r="A638" s="13"/>
      <c r="B638" s="9"/>
      <c r="C638" s="11"/>
      <c r="D638" s="11"/>
      <c r="E638" s="9"/>
      <c r="F638" s="10"/>
      <c r="G638" s="10"/>
      <c r="H638" s="10"/>
    </row>
    <row r="639" spans="1:8" ht="15.75" x14ac:dyDescent="0.25">
      <c r="A639" s="13"/>
      <c r="B639" s="9"/>
      <c r="C639" s="11"/>
      <c r="D639" s="11"/>
      <c r="E639" s="9"/>
      <c r="F639" s="10"/>
      <c r="G639" s="10"/>
      <c r="H639" s="10"/>
    </row>
    <row r="640" spans="1:8" ht="15.75" x14ac:dyDescent="0.25">
      <c r="A640" s="13"/>
      <c r="B640" s="9"/>
      <c r="C640" s="11"/>
      <c r="D640" s="11"/>
      <c r="E640" s="9"/>
      <c r="F640" s="10"/>
      <c r="G640" s="10"/>
      <c r="H640" s="10"/>
    </row>
    <row r="641" spans="1:8" ht="15.75" x14ac:dyDescent="0.25">
      <c r="A641" s="13"/>
      <c r="B641" s="9"/>
      <c r="C641" s="11"/>
      <c r="D641" s="11"/>
      <c r="E641" s="9"/>
      <c r="F641" s="10"/>
      <c r="G641" s="10"/>
      <c r="H641" s="10"/>
    </row>
    <row r="642" spans="1:8" ht="15.75" x14ac:dyDescent="0.25">
      <c r="A642" s="13"/>
      <c r="B642" s="9"/>
      <c r="C642" s="11"/>
      <c r="D642" s="11"/>
      <c r="E642" s="9"/>
      <c r="F642" s="10"/>
      <c r="G642" s="10"/>
      <c r="H642" s="10"/>
    </row>
    <row r="643" spans="1:8" ht="15.75" x14ac:dyDescent="0.25">
      <c r="A643" s="13"/>
      <c r="B643" s="9"/>
      <c r="C643" s="11"/>
      <c r="D643" s="11"/>
      <c r="E643" s="9"/>
      <c r="F643" s="10"/>
      <c r="G643" s="10"/>
      <c r="H643" s="10"/>
    </row>
    <row r="644" spans="1:8" ht="15.75" x14ac:dyDescent="0.25">
      <c r="A644" s="13"/>
      <c r="B644" s="9"/>
      <c r="C644" s="11"/>
      <c r="D644" s="11"/>
      <c r="E644" s="9"/>
      <c r="F644" s="10"/>
      <c r="G644" s="10"/>
      <c r="H644" s="10"/>
    </row>
    <row r="645" spans="1:8" ht="15.75" x14ac:dyDescent="0.25">
      <c r="A645" s="13"/>
      <c r="B645" s="9"/>
      <c r="C645" s="11"/>
      <c r="D645" s="11"/>
      <c r="E645" s="9"/>
      <c r="F645" s="10"/>
      <c r="G645" s="10"/>
      <c r="H645" s="10"/>
    </row>
    <row r="646" spans="1:8" ht="15.75" x14ac:dyDescent="0.25">
      <c r="A646" s="13"/>
      <c r="B646" s="9"/>
      <c r="C646" s="11"/>
      <c r="D646" s="11"/>
      <c r="E646" s="9"/>
      <c r="F646" s="10"/>
      <c r="G646" s="10"/>
      <c r="H646" s="10"/>
    </row>
    <row r="647" spans="1:8" ht="15.75" x14ac:dyDescent="0.25">
      <c r="A647" s="13"/>
      <c r="B647" s="9"/>
      <c r="C647" s="11"/>
      <c r="D647" s="11"/>
      <c r="E647" s="9"/>
      <c r="F647" s="10"/>
      <c r="G647" s="10"/>
      <c r="H647" s="10"/>
    </row>
    <row r="648" spans="1:8" ht="15.75" x14ac:dyDescent="0.25">
      <c r="A648" s="13"/>
      <c r="B648" s="9"/>
      <c r="C648" s="11"/>
      <c r="D648" s="11"/>
      <c r="E648" s="9"/>
      <c r="F648" s="10"/>
      <c r="G648" s="10"/>
      <c r="H648" s="10"/>
    </row>
    <row r="649" spans="1:8" ht="15.75" x14ac:dyDescent="0.25">
      <c r="A649" s="13"/>
      <c r="B649" s="9"/>
      <c r="C649" s="11"/>
      <c r="D649" s="11"/>
      <c r="E649" s="9"/>
      <c r="F649" s="10"/>
      <c r="G649" s="10"/>
      <c r="H649" s="10"/>
    </row>
    <row r="650" spans="1:8" ht="15.75" x14ac:dyDescent="0.25">
      <c r="A650" s="13"/>
      <c r="B650" s="9"/>
      <c r="C650" s="11"/>
      <c r="D650" s="11"/>
      <c r="E650" s="9"/>
      <c r="F650" s="10"/>
      <c r="G650" s="10"/>
      <c r="H650" s="10"/>
    </row>
    <row r="651" spans="1:8" ht="15.75" x14ac:dyDescent="0.25">
      <c r="A651" s="13"/>
      <c r="B651" s="9"/>
      <c r="C651" s="11"/>
      <c r="D651" s="11"/>
      <c r="E651" s="9"/>
      <c r="F651" s="10"/>
      <c r="G651" s="10"/>
      <c r="H651" s="10"/>
    </row>
    <row r="652" spans="1:8" ht="15.75" x14ac:dyDescent="0.25">
      <c r="A652" s="13"/>
      <c r="B652" s="9"/>
      <c r="C652" s="11"/>
      <c r="D652" s="11"/>
      <c r="E652" s="9"/>
      <c r="F652" s="10"/>
      <c r="G652" s="10"/>
      <c r="H652" s="10"/>
    </row>
    <row r="653" spans="1:8" ht="15.75" x14ac:dyDescent="0.25">
      <c r="A653" s="13"/>
      <c r="B653" s="9"/>
      <c r="C653" s="11"/>
      <c r="D653" s="11"/>
      <c r="E653" s="9"/>
      <c r="F653" s="10"/>
      <c r="G653" s="10"/>
      <c r="H653" s="10"/>
    </row>
    <row r="654" spans="1:8" ht="15.75" x14ac:dyDescent="0.25">
      <c r="A654" s="13"/>
      <c r="B654" s="9"/>
      <c r="C654" s="11"/>
      <c r="D654" s="11"/>
      <c r="E654" s="9"/>
      <c r="F654" s="10"/>
      <c r="G654" s="10"/>
      <c r="H654" s="10"/>
    </row>
    <row r="655" spans="1:8" ht="15.75" x14ac:dyDescent="0.25">
      <c r="A655" s="13"/>
      <c r="B655" s="9"/>
      <c r="C655" s="11"/>
      <c r="D655" s="11"/>
      <c r="E655" s="9"/>
      <c r="F655" s="10"/>
      <c r="G655" s="10"/>
      <c r="H655" s="10"/>
    </row>
    <row r="656" spans="1:8" ht="15.75" x14ac:dyDescent="0.25">
      <c r="A656" s="13"/>
      <c r="B656" s="9"/>
      <c r="C656" s="11"/>
      <c r="D656" s="11"/>
      <c r="E656" s="9"/>
      <c r="F656" s="10"/>
      <c r="G656" s="10"/>
      <c r="H656" s="10"/>
    </row>
    <row r="657" spans="1:8" ht="15.75" x14ac:dyDescent="0.25">
      <c r="A657" s="13"/>
      <c r="B657" s="9"/>
      <c r="C657" s="11"/>
      <c r="D657" s="11"/>
      <c r="E657" s="9"/>
      <c r="F657" s="10"/>
      <c r="G657" s="10"/>
      <c r="H657" s="10"/>
    </row>
    <row r="658" spans="1:8" ht="15.75" x14ac:dyDescent="0.25">
      <c r="A658" s="13"/>
      <c r="B658" s="9"/>
      <c r="C658" s="11"/>
      <c r="D658" s="11"/>
      <c r="E658" s="9"/>
      <c r="F658" s="10"/>
      <c r="G658" s="10"/>
      <c r="H658" s="10"/>
    </row>
    <row r="659" spans="1:8" ht="15.75" x14ac:dyDescent="0.25">
      <c r="A659" s="13"/>
      <c r="B659" s="9"/>
      <c r="C659" s="11"/>
      <c r="D659" s="11"/>
      <c r="E659" s="9"/>
      <c r="F659" s="10"/>
      <c r="G659" s="10"/>
      <c r="H659" s="10"/>
    </row>
    <row r="660" spans="1:8" ht="15.75" x14ac:dyDescent="0.25">
      <c r="A660" s="13"/>
      <c r="B660" s="9"/>
      <c r="C660" s="11"/>
      <c r="D660" s="11"/>
      <c r="E660" s="9"/>
      <c r="F660" s="10"/>
      <c r="G660" s="10"/>
      <c r="H660" s="10"/>
    </row>
    <row r="661" spans="1:8" ht="15.75" x14ac:dyDescent="0.25">
      <c r="A661" s="13"/>
      <c r="B661" s="9"/>
      <c r="C661" s="11"/>
      <c r="D661" s="11"/>
      <c r="E661" s="9"/>
      <c r="F661" s="10"/>
      <c r="G661" s="10"/>
      <c r="H661" s="10"/>
    </row>
    <row r="662" spans="1:8" ht="15.75" x14ac:dyDescent="0.25">
      <c r="A662" s="13"/>
      <c r="B662" s="9"/>
      <c r="C662" s="11"/>
      <c r="D662" s="11"/>
      <c r="E662" s="9"/>
      <c r="F662" s="10"/>
      <c r="G662" s="10"/>
      <c r="H662" s="10"/>
    </row>
    <row r="663" spans="1:8" ht="15.75" x14ac:dyDescent="0.25">
      <c r="A663" s="13"/>
      <c r="B663" s="9"/>
      <c r="C663" s="11"/>
      <c r="D663" s="11"/>
      <c r="E663" s="9"/>
      <c r="F663" s="10"/>
      <c r="G663" s="10"/>
      <c r="H663" s="10"/>
    </row>
    <row r="664" spans="1:8" ht="15.75" x14ac:dyDescent="0.25">
      <c r="A664" s="13"/>
      <c r="B664" s="9"/>
      <c r="C664" s="11"/>
      <c r="D664" s="11"/>
      <c r="E664" s="9"/>
      <c r="F664" s="10"/>
      <c r="G664" s="10"/>
      <c r="H664" s="10"/>
    </row>
    <row r="665" spans="1:8" ht="15.75" x14ac:dyDescent="0.25">
      <c r="A665" s="13"/>
      <c r="B665" s="9"/>
      <c r="C665" s="11"/>
      <c r="D665" s="11"/>
      <c r="E665" s="9"/>
      <c r="F665" s="10"/>
      <c r="G665" s="10"/>
      <c r="H665" s="10"/>
    </row>
    <row r="666" spans="1:8" ht="15.75" x14ac:dyDescent="0.25">
      <c r="A666" s="13"/>
      <c r="B666" s="9"/>
      <c r="C666" s="11"/>
      <c r="D666" s="11"/>
      <c r="E666" s="9"/>
      <c r="F666" s="10"/>
      <c r="G666" s="10"/>
      <c r="H666" s="10"/>
    </row>
    <row r="667" spans="1:8" ht="15.75" x14ac:dyDescent="0.25">
      <c r="A667" s="13"/>
      <c r="B667" s="9"/>
      <c r="C667" s="11"/>
      <c r="D667" s="11"/>
      <c r="E667" s="9"/>
      <c r="F667" s="10"/>
      <c r="G667" s="10"/>
      <c r="H667" s="10"/>
    </row>
    <row r="668" spans="1:8" ht="15.75" x14ac:dyDescent="0.25">
      <c r="A668" s="13"/>
      <c r="B668" s="9"/>
      <c r="C668" s="11"/>
      <c r="D668" s="11"/>
      <c r="E668" s="9"/>
      <c r="F668" s="10"/>
      <c r="G668" s="10"/>
      <c r="H668" s="10"/>
    </row>
    <row r="669" spans="1:8" ht="15.75" x14ac:dyDescent="0.25">
      <c r="A669" s="13"/>
      <c r="B669" s="9"/>
      <c r="C669" s="11"/>
      <c r="D669" s="11"/>
      <c r="E669" s="9"/>
      <c r="F669" s="10"/>
      <c r="G669" s="10"/>
      <c r="H669" s="10"/>
    </row>
    <row r="670" spans="1:8" ht="15.75" x14ac:dyDescent="0.25">
      <c r="A670" s="13"/>
      <c r="B670" s="9"/>
      <c r="C670" s="11"/>
      <c r="D670" s="11"/>
      <c r="E670" s="9"/>
      <c r="F670" s="10"/>
      <c r="G670" s="10"/>
      <c r="H670" s="10"/>
    </row>
    <row r="671" spans="1:8" ht="15.75" x14ac:dyDescent="0.25">
      <c r="A671" s="13"/>
      <c r="B671" s="9"/>
      <c r="C671" s="11"/>
      <c r="D671" s="11"/>
      <c r="E671" s="9"/>
      <c r="F671" s="10"/>
      <c r="G671" s="10"/>
      <c r="H671" s="10"/>
    </row>
    <row r="672" spans="1:8" ht="15.75" x14ac:dyDescent="0.25">
      <c r="A672" s="13"/>
      <c r="B672" s="9"/>
      <c r="C672" s="11"/>
      <c r="D672" s="11"/>
      <c r="E672" s="9"/>
      <c r="F672" s="10"/>
      <c r="G672" s="10"/>
      <c r="H672" s="10"/>
    </row>
    <row r="673" spans="1:8" ht="15.75" x14ac:dyDescent="0.25">
      <c r="A673" s="13"/>
      <c r="B673" s="9"/>
      <c r="C673" s="11"/>
      <c r="D673" s="11"/>
      <c r="E673" s="9"/>
      <c r="F673" s="10"/>
      <c r="G673" s="10"/>
      <c r="H673" s="10"/>
    </row>
    <row r="674" spans="1:8" ht="15.75" x14ac:dyDescent="0.25">
      <c r="A674" s="13"/>
      <c r="B674" s="9"/>
      <c r="C674" s="11"/>
      <c r="D674" s="11"/>
      <c r="E674" s="9"/>
      <c r="F674" s="10"/>
      <c r="G674" s="10"/>
      <c r="H674" s="10"/>
    </row>
    <row r="675" spans="1:8" ht="15.75" x14ac:dyDescent="0.25">
      <c r="A675" s="13"/>
      <c r="B675" s="9"/>
      <c r="C675" s="11"/>
      <c r="D675" s="11"/>
      <c r="E675" s="9"/>
      <c r="F675" s="10"/>
      <c r="G675" s="10"/>
      <c r="H675" s="10"/>
    </row>
    <row r="676" spans="1:8" ht="15.75" x14ac:dyDescent="0.25">
      <c r="A676" s="13"/>
      <c r="B676" s="9"/>
      <c r="C676" s="11"/>
      <c r="D676" s="11"/>
      <c r="E676" s="9"/>
      <c r="F676" s="10"/>
      <c r="G676" s="10"/>
      <c r="H676" s="10"/>
    </row>
    <row r="677" spans="1:8" ht="15.75" x14ac:dyDescent="0.25">
      <c r="A677" s="13"/>
      <c r="B677" s="9"/>
      <c r="C677" s="11"/>
      <c r="D677" s="11"/>
      <c r="E677" s="9"/>
      <c r="F677" s="10"/>
      <c r="G677" s="10"/>
      <c r="H677" s="10"/>
    </row>
    <row r="678" spans="1:8" ht="15.75" x14ac:dyDescent="0.25">
      <c r="A678" s="13"/>
      <c r="B678" s="9"/>
      <c r="C678" s="11"/>
      <c r="D678" s="11"/>
      <c r="E678" s="9"/>
      <c r="F678" s="10"/>
      <c r="G678" s="10"/>
      <c r="H678" s="10"/>
    </row>
    <row r="679" spans="1:8" ht="15.75" x14ac:dyDescent="0.25">
      <c r="A679" s="13"/>
      <c r="B679" s="9"/>
      <c r="C679" s="11"/>
      <c r="D679" s="11"/>
      <c r="E679" s="9"/>
      <c r="F679" s="10"/>
      <c r="G679" s="10"/>
      <c r="H679" s="10"/>
    </row>
    <row r="680" spans="1:8" ht="15.75" x14ac:dyDescent="0.25">
      <c r="A680" s="13"/>
      <c r="B680" s="9"/>
      <c r="C680" s="11"/>
      <c r="D680" s="11"/>
      <c r="E680" s="9"/>
      <c r="F680" s="10"/>
      <c r="G680" s="10"/>
      <c r="H680" s="10"/>
    </row>
    <row r="681" spans="1:8" ht="15.75" x14ac:dyDescent="0.25">
      <c r="A681" s="13"/>
      <c r="B681" s="9"/>
      <c r="C681" s="11"/>
      <c r="D681" s="11"/>
      <c r="E681" s="9"/>
      <c r="F681" s="10"/>
      <c r="G681" s="10"/>
      <c r="H681" s="10"/>
    </row>
    <row r="682" spans="1:8" ht="15.75" x14ac:dyDescent="0.25">
      <c r="A682" s="13"/>
      <c r="B682" s="9"/>
      <c r="C682" s="11"/>
      <c r="D682" s="11"/>
      <c r="E682" s="9"/>
      <c r="F682" s="10"/>
      <c r="G682" s="10"/>
      <c r="H682" s="10"/>
    </row>
    <row r="683" spans="1:8" ht="15.75" x14ac:dyDescent="0.25">
      <c r="A683" s="13"/>
      <c r="B683" s="9"/>
      <c r="C683" s="11"/>
      <c r="D683" s="11"/>
      <c r="E683" s="9"/>
      <c r="F683" s="10"/>
      <c r="G683" s="10"/>
      <c r="H683" s="10"/>
    </row>
    <row r="684" spans="1:8" ht="15.75" x14ac:dyDescent="0.25">
      <c r="A684" s="13"/>
      <c r="B684" s="9"/>
      <c r="C684" s="11"/>
      <c r="D684" s="11"/>
      <c r="E684" s="9"/>
      <c r="F684" s="10"/>
      <c r="G684" s="10"/>
      <c r="H684" s="10"/>
    </row>
    <row r="685" spans="1:8" ht="15.75" x14ac:dyDescent="0.25">
      <c r="A685" s="13"/>
      <c r="B685" s="9"/>
      <c r="C685" s="11"/>
      <c r="D685" s="11"/>
      <c r="E685" s="9"/>
      <c r="F685" s="10"/>
      <c r="G685" s="10"/>
      <c r="H685" s="10"/>
    </row>
    <row r="686" spans="1:8" ht="15.75" x14ac:dyDescent="0.25">
      <c r="A686" s="13"/>
      <c r="B686" s="9"/>
      <c r="C686" s="11"/>
      <c r="D686" s="11"/>
      <c r="E686" s="9"/>
      <c r="F686" s="10"/>
      <c r="G686" s="10"/>
      <c r="H686" s="10"/>
    </row>
    <row r="687" spans="1:8" ht="15.75" x14ac:dyDescent="0.25">
      <c r="A687" s="13"/>
      <c r="B687" s="9"/>
      <c r="C687" s="11"/>
      <c r="D687" s="11"/>
      <c r="E687" s="9"/>
      <c r="F687" s="10"/>
      <c r="G687" s="10"/>
      <c r="H687" s="10"/>
    </row>
    <row r="688" spans="1:8" ht="15.75" x14ac:dyDescent="0.25">
      <c r="A688" s="13"/>
      <c r="B688" s="9"/>
      <c r="C688" s="11"/>
      <c r="D688" s="11"/>
      <c r="E688" s="9"/>
      <c r="F688" s="10"/>
      <c r="G688" s="10"/>
      <c r="H688" s="10"/>
    </row>
    <row r="689" spans="1:8" ht="15.75" x14ac:dyDescent="0.25">
      <c r="A689" s="13"/>
      <c r="B689" s="9"/>
      <c r="C689" s="11"/>
      <c r="D689" s="11"/>
      <c r="E689" s="9"/>
      <c r="F689" s="10"/>
      <c r="G689" s="10"/>
      <c r="H689" s="10"/>
    </row>
    <row r="690" spans="1:8" ht="15.75" x14ac:dyDescent="0.25">
      <c r="A690" s="13"/>
      <c r="B690" s="9"/>
      <c r="C690" s="11"/>
      <c r="D690" s="11"/>
      <c r="E690" s="9"/>
      <c r="F690" s="10"/>
      <c r="G690" s="10"/>
      <c r="H690" s="10"/>
    </row>
    <row r="691" spans="1:8" ht="15.75" x14ac:dyDescent="0.25">
      <c r="A691" s="13"/>
      <c r="B691" s="9"/>
      <c r="C691" s="11"/>
      <c r="D691" s="11"/>
      <c r="E691" s="9"/>
      <c r="F691" s="10"/>
      <c r="G691" s="10"/>
      <c r="H691" s="10"/>
    </row>
    <row r="692" spans="1:8" ht="15.75" x14ac:dyDescent="0.25">
      <c r="A692" s="13"/>
      <c r="B692" s="9"/>
      <c r="C692" s="11"/>
      <c r="D692" s="11"/>
      <c r="E692" s="9"/>
      <c r="F692" s="10"/>
      <c r="G692" s="10"/>
      <c r="H692" s="10"/>
    </row>
    <row r="693" spans="1:8" ht="15.75" x14ac:dyDescent="0.25">
      <c r="A693" s="13"/>
      <c r="B693" s="9"/>
      <c r="C693" s="11"/>
      <c r="D693" s="11"/>
      <c r="E693" s="9"/>
      <c r="F693" s="10"/>
      <c r="G693" s="10"/>
      <c r="H693" s="10"/>
    </row>
    <row r="694" spans="1:8" ht="15.75" x14ac:dyDescent="0.25">
      <c r="A694" s="13"/>
      <c r="B694" s="9"/>
      <c r="C694" s="11"/>
      <c r="D694" s="11"/>
      <c r="E694" s="9"/>
      <c r="F694" s="10"/>
      <c r="G694" s="10"/>
      <c r="H694" s="10"/>
    </row>
    <row r="695" spans="1:8" ht="15.75" x14ac:dyDescent="0.25">
      <c r="A695" s="13"/>
      <c r="B695" s="9"/>
      <c r="C695" s="11"/>
      <c r="D695" s="11"/>
      <c r="E695" s="9"/>
      <c r="F695" s="10"/>
      <c r="G695" s="10"/>
      <c r="H695" s="10"/>
    </row>
    <row r="696" spans="1:8" ht="15.75" x14ac:dyDescent="0.25">
      <c r="A696" s="13"/>
      <c r="B696" s="9"/>
      <c r="C696" s="11"/>
      <c r="D696" s="11"/>
      <c r="E696" s="9"/>
      <c r="F696" s="10"/>
      <c r="G696" s="10"/>
      <c r="H696" s="10"/>
    </row>
    <row r="697" spans="1:8" ht="15.75" x14ac:dyDescent="0.25">
      <c r="A697" s="13"/>
      <c r="B697" s="9"/>
      <c r="C697" s="11"/>
      <c r="D697" s="11"/>
      <c r="E697" s="9"/>
      <c r="F697" s="10"/>
      <c r="G697" s="10"/>
      <c r="H697" s="10"/>
    </row>
    <row r="698" spans="1:8" ht="15.75" x14ac:dyDescent="0.25">
      <c r="A698" s="13"/>
      <c r="B698" s="9"/>
      <c r="C698" s="11"/>
      <c r="D698" s="11"/>
      <c r="E698" s="9"/>
      <c r="F698" s="10"/>
      <c r="G698" s="10"/>
      <c r="H698" s="10"/>
    </row>
    <row r="699" spans="1:8" ht="15.75" x14ac:dyDescent="0.25">
      <c r="A699" s="13"/>
      <c r="B699" s="9"/>
      <c r="C699" s="11"/>
      <c r="D699" s="11"/>
      <c r="E699" s="9"/>
      <c r="F699" s="10"/>
      <c r="G699" s="10"/>
      <c r="H699" s="10"/>
    </row>
    <row r="700" spans="1:8" ht="15.75" x14ac:dyDescent="0.25">
      <c r="A700" s="13"/>
      <c r="B700" s="9"/>
      <c r="C700" s="11"/>
      <c r="D700" s="11"/>
      <c r="E700" s="9"/>
      <c r="F700" s="10"/>
      <c r="G700" s="10"/>
      <c r="H700" s="10"/>
    </row>
    <row r="701" spans="1:8" ht="15.75" x14ac:dyDescent="0.25">
      <c r="A701" s="13"/>
      <c r="B701" s="9"/>
      <c r="C701" s="11"/>
      <c r="D701" s="11"/>
      <c r="E701" s="9"/>
      <c r="F701" s="10"/>
      <c r="G701" s="10"/>
      <c r="H701" s="10"/>
    </row>
    <row r="702" spans="1:8" ht="15.75" x14ac:dyDescent="0.25">
      <c r="A702" s="13"/>
      <c r="B702" s="9"/>
      <c r="C702" s="11"/>
      <c r="D702" s="11"/>
      <c r="E702" s="9"/>
      <c r="F702" s="10"/>
      <c r="G702" s="10"/>
      <c r="H702" s="10"/>
    </row>
    <row r="703" spans="1:8" ht="15.75" x14ac:dyDescent="0.25">
      <c r="A703" s="13"/>
      <c r="B703" s="9"/>
      <c r="C703" s="11"/>
      <c r="D703" s="11"/>
      <c r="E703" s="9"/>
      <c r="F703" s="10"/>
      <c r="G703" s="10"/>
      <c r="H703" s="10"/>
    </row>
    <row r="704" spans="1:8" ht="15.75" x14ac:dyDescent="0.25">
      <c r="A704" s="13"/>
      <c r="B704" s="9"/>
      <c r="C704" s="11"/>
      <c r="D704" s="11"/>
      <c r="E704" s="9"/>
      <c r="F704" s="10"/>
      <c r="G704" s="10"/>
      <c r="H704" s="10"/>
    </row>
    <row r="705" spans="1:8" ht="15.75" x14ac:dyDescent="0.25">
      <c r="A705" s="13"/>
      <c r="B705" s="9"/>
      <c r="C705" s="11"/>
      <c r="D705" s="11"/>
      <c r="E705" s="9"/>
      <c r="F705" s="10"/>
      <c r="G705" s="10"/>
      <c r="H705" s="10"/>
    </row>
    <row r="706" spans="1:8" ht="15.75" x14ac:dyDescent="0.25">
      <c r="A706" s="13"/>
      <c r="B706" s="9"/>
      <c r="C706" s="11"/>
      <c r="D706" s="11"/>
      <c r="E706" s="9"/>
      <c r="F706" s="10"/>
      <c r="G706" s="10"/>
      <c r="H706" s="10"/>
    </row>
    <row r="707" spans="1:8" ht="15.75" x14ac:dyDescent="0.25">
      <c r="A707" s="13"/>
      <c r="B707" s="9"/>
      <c r="C707" s="11"/>
      <c r="D707" s="11"/>
      <c r="E707" s="9"/>
      <c r="F707" s="10"/>
      <c r="G707" s="10"/>
      <c r="H707" s="10"/>
    </row>
    <row r="708" spans="1:8" ht="15.75" x14ac:dyDescent="0.25">
      <c r="A708" s="13"/>
      <c r="B708" s="9"/>
      <c r="C708" s="11"/>
      <c r="D708" s="11"/>
      <c r="E708" s="9"/>
      <c r="F708" s="10"/>
      <c r="G708" s="10"/>
      <c r="H708" s="10"/>
    </row>
    <row r="709" spans="1:8" ht="15.75" x14ac:dyDescent="0.25">
      <c r="A709" s="13"/>
      <c r="B709" s="9"/>
      <c r="C709" s="11"/>
      <c r="D709" s="11"/>
      <c r="E709" s="9"/>
      <c r="F709" s="10"/>
      <c r="G709" s="10"/>
      <c r="H709" s="10"/>
    </row>
    <row r="710" spans="1:8" ht="15.75" x14ac:dyDescent="0.25">
      <c r="A710" s="13"/>
      <c r="B710" s="9"/>
      <c r="C710" s="11"/>
      <c r="D710" s="11"/>
      <c r="E710" s="9"/>
      <c r="F710" s="10"/>
      <c r="G710" s="10"/>
      <c r="H710" s="10"/>
    </row>
    <row r="711" spans="1:8" ht="15.75" x14ac:dyDescent="0.25">
      <c r="A711" s="13"/>
      <c r="B711" s="9"/>
      <c r="C711" s="11"/>
      <c r="D711" s="11"/>
      <c r="E711" s="9"/>
      <c r="F711" s="10"/>
      <c r="G711" s="10"/>
      <c r="H711" s="10"/>
    </row>
    <row r="712" spans="1:8" ht="15.75" x14ac:dyDescent="0.25">
      <c r="A712" s="13"/>
      <c r="B712" s="9"/>
      <c r="C712" s="11"/>
      <c r="D712" s="11"/>
      <c r="E712" s="9"/>
      <c r="F712" s="10"/>
      <c r="G712" s="10"/>
      <c r="H712" s="10"/>
    </row>
    <row r="713" spans="1:8" ht="15.75" x14ac:dyDescent="0.25">
      <c r="A713" s="13"/>
      <c r="B713" s="9"/>
      <c r="C713" s="11"/>
      <c r="D713" s="11"/>
      <c r="E713" s="9"/>
      <c r="F713" s="10"/>
      <c r="G713" s="10"/>
      <c r="H713" s="10"/>
    </row>
    <row r="714" spans="1:8" ht="15.75" x14ac:dyDescent="0.25">
      <c r="A714" s="13"/>
      <c r="B714" s="9"/>
      <c r="C714" s="11"/>
      <c r="D714" s="11"/>
      <c r="E714" s="9"/>
      <c r="F714" s="10"/>
      <c r="G714" s="10"/>
      <c r="H714" s="10"/>
    </row>
    <row r="715" spans="1:8" ht="15.75" x14ac:dyDescent="0.25">
      <c r="A715" s="13"/>
      <c r="B715" s="9"/>
      <c r="C715" s="11"/>
      <c r="D715" s="11"/>
      <c r="E715" s="9"/>
      <c r="F715" s="10"/>
      <c r="G715" s="10"/>
      <c r="H715" s="10"/>
    </row>
    <row r="716" spans="1:8" ht="15.75" x14ac:dyDescent="0.25">
      <c r="A716" s="13"/>
      <c r="B716" s="9"/>
      <c r="C716" s="11"/>
      <c r="D716" s="11"/>
      <c r="E716" s="9"/>
      <c r="F716" s="10"/>
      <c r="G716" s="10"/>
      <c r="H716" s="10"/>
    </row>
    <row r="717" spans="1:8" ht="15.75" x14ac:dyDescent="0.25">
      <c r="A717" s="13"/>
      <c r="B717" s="9"/>
      <c r="C717" s="11"/>
      <c r="D717" s="11"/>
      <c r="E717" s="9"/>
      <c r="F717" s="10"/>
      <c r="G717" s="10"/>
      <c r="H717" s="10"/>
    </row>
    <row r="718" spans="1:8" ht="15.75" x14ac:dyDescent="0.25">
      <c r="A718" s="13"/>
      <c r="B718" s="9"/>
      <c r="C718" s="11"/>
      <c r="D718" s="11"/>
      <c r="E718" s="9"/>
      <c r="F718" s="10"/>
      <c r="G718" s="10"/>
      <c r="H718" s="10"/>
    </row>
    <row r="719" spans="1:8" ht="15.75" x14ac:dyDescent="0.25">
      <c r="A719" s="13"/>
      <c r="B719" s="9"/>
      <c r="C719" s="11"/>
      <c r="D719" s="11"/>
      <c r="E719" s="9"/>
      <c r="F719" s="10"/>
      <c r="G719" s="10"/>
      <c r="H719" s="10"/>
    </row>
    <row r="720" spans="1:8" ht="15.75" x14ac:dyDescent="0.25">
      <c r="A720" s="13"/>
      <c r="B720" s="9"/>
      <c r="C720" s="11"/>
      <c r="D720" s="11"/>
      <c r="E720" s="9"/>
      <c r="F720" s="10"/>
      <c r="G720" s="10"/>
      <c r="H720" s="10"/>
    </row>
    <row r="721" spans="1:8" ht="15.75" x14ac:dyDescent="0.25">
      <c r="A721" s="13"/>
      <c r="B721" s="9"/>
      <c r="C721" s="11"/>
      <c r="D721" s="11"/>
      <c r="E721" s="9"/>
      <c r="F721" s="10"/>
      <c r="G721" s="10"/>
      <c r="H721" s="10"/>
    </row>
    <row r="722" spans="1:8" ht="15.75" x14ac:dyDescent="0.25">
      <c r="A722" s="13"/>
      <c r="B722" s="9"/>
      <c r="C722" s="11"/>
      <c r="D722" s="11"/>
      <c r="E722" s="9"/>
      <c r="F722" s="10"/>
      <c r="G722" s="10"/>
      <c r="H722" s="10"/>
    </row>
    <row r="723" spans="1:8" ht="15.75" x14ac:dyDescent="0.25">
      <c r="A723" s="13"/>
      <c r="B723" s="9"/>
      <c r="C723" s="11"/>
      <c r="D723" s="11"/>
      <c r="E723" s="9"/>
      <c r="F723" s="10"/>
      <c r="G723" s="10"/>
      <c r="H723" s="10"/>
    </row>
    <row r="724" spans="1:8" ht="15.75" x14ac:dyDescent="0.25">
      <c r="A724" s="13"/>
      <c r="B724" s="9"/>
      <c r="C724" s="11"/>
      <c r="D724" s="11"/>
      <c r="E724" s="9"/>
      <c r="F724" s="10"/>
      <c r="G724" s="10"/>
      <c r="H724" s="10"/>
    </row>
    <row r="725" spans="1:8" ht="15.75" x14ac:dyDescent="0.25">
      <c r="A725" s="13"/>
      <c r="B725" s="9"/>
      <c r="C725" s="11"/>
      <c r="D725" s="11"/>
      <c r="E725" s="9"/>
      <c r="F725" s="10"/>
      <c r="G725" s="10"/>
      <c r="H725" s="10"/>
    </row>
    <row r="726" spans="1:8" ht="15.75" x14ac:dyDescent="0.25">
      <c r="A726" s="13"/>
      <c r="B726" s="9"/>
      <c r="C726" s="11"/>
      <c r="D726" s="11"/>
      <c r="E726" s="9"/>
      <c r="F726" s="10"/>
      <c r="G726" s="10"/>
      <c r="H726" s="10"/>
    </row>
    <row r="727" spans="1:8" ht="15.75" x14ac:dyDescent="0.25">
      <c r="A727" s="13"/>
      <c r="B727" s="9"/>
      <c r="C727" s="11"/>
      <c r="D727" s="11"/>
      <c r="E727" s="9"/>
      <c r="F727" s="10"/>
      <c r="G727" s="10"/>
      <c r="H727" s="10"/>
    </row>
    <row r="728" spans="1:8" ht="15.75" x14ac:dyDescent="0.25">
      <c r="A728" s="13"/>
      <c r="B728" s="9"/>
      <c r="C728" s="11"/>
      <c r="D728" s="11"/>
      <c r="E728" s="9"/>
      <c r="F728" s="10"/>
      <c r="G728" s="10"/>
      <c r="H728" s="10"/>
    </row>
    <row r="729" spans="1:8" ht="15.75" x14ac:dyDescent="0.25">
      <c r="A729" s="13"/>
      <c r="B729" s="9"/>
      <c r="C729" s="11"/>
      <c r="D729" s="11"/>
      <c r="E729" s="9"/>
      <c r="F729" s="10"/>
      <c r="G729" s="10"/>
      <c r="H729" s="10"/>
    </row>
    <row r="730" spans="1:8" ht="15.75" x14ac:dyDescent="0.25">
      <c r="A730" s="13"/>
      <c r="B730" s="9"/>
      <c r="C730" s="11"/>
      <c r="D730" s="11"/>
      <c r="E730" s="9"/>
      <c r="F730" s="10"/>
      <c r="G730" s="10"/>
      <c r="H730" s="10"/>
    </row>
    <row r="731" spans="1:8" ht="15.75" x14ac:dyDescent="0.25">
      <c r="A731" s="13"/>
      <c r="B731" s="9"/>
      <c r="C731" s="11"/>
      <c r="D731" s="11"/>
      <c r="E731" s="9"/>
      <c r="F731" s="10"/>
      <c r="G731" s="10"/>
      <c r="H731" s="10"/>
    </row>
    <row r="732" spans="1:8" ht="15.75" x14ac:dyDescent="0.25">
      <c r="A732" s="13"/>
      <c r="B732" s="9"/>
      <c r="C732" s="11"/>
      <c r="D732" s="11"/>
      <c r="E732" s="9"/>
      <c r="F732" s="10"/>
      <c r="G732" s="10"/>
      <c r="H732" s="10"/>
    </row>
    <row r="733" spans="1:8" ht="15.75" x14ac:dyDescent="0.25">
      <c r="A733" s="13"/>
      <c r="B733" s="9"/>
      <c r="C733" s="11"/>
      <c r="D733" s="11"/>
      <c r="E733" s="9"/>
      <c r="F733" s="10"/>
      <c r="G733" s="10"/>
      <c r="H733" s="10"/>
    </row>
    <row r="734" spans="1:8" ht="15.75" x14ac:dyDescent="0.25">
      <c r="A734" s="13"/>
      <c r="B734" s="9"/>
      <c r="C734" s="11"/>
      <c r="D734" s="11"/>
      <c r="E734" s="9"/>
      <c r="F734" s="10"/>
      <c r="G734" s="10"/>
      <c r="H734" s="10"/>
    </row>
    <row r="735" spans="1:8" ht="15.75" x14ac:dyDescent="0.25">
      <c r="A735" s="13"/>
      <c r="B735" s="9"/>
      <c r="C735" s="11"/>
      <c r="D735" s="11"/>
      <c r="E735" s="9"/>
      <c r="F735" s="10"/>
      <c r="G735" s="10"/>
      <c r="H735" s="10"/>
    </row>
    <row r="736" spans="1:8" ht="15.75" x14ac:dyDescent="0.25">
      <c r="A736" s="13"/>
      <c r="B736" s="9"/>
      <c r="C736" s="11"/>
      <c r="D736" s="11"/>
      <c r="E736" s="9"/>
      <c r="F736" s="10"/>
      <c r="G736" s="10"/>
      <c r="H736" s="10"/>
    </row>
    <row r="737" spans="1:8" ht="15.75" x14ac:dyDescent="0.25">
      <c r="A737" s="13"/>
      <c r="B737" s="9"/>
      <c r="C737" s="11"/>
      <c r="D737" s="11"/>
      <c r="E737" s="9"/>
      <c r="F737" s="10"/>
      <c r="G737" s="10"/>
      <c r="H737" s="10"/>
    </row>
    <row r="738" spans="1:8" ht="15.75" x14ac:dyDescent="0.25">
      <c r="A738" s="13"/>
      <c r="B738" s="9"/>
      <c r="C738" s="11"/>
      <c r="D738" s="11"/>
      <c r="E738" s="9"/>
      <c r="F738" s="10"/>
      <c r="G738" s="10"/>
      <c r="H738" s="10"/>
    </row>
    <row r="739" spans="1:8" ht="15.75" x14ac:dyDescent="0.25">
      <c r="A739" s="13"/>
      <c r="B739" s="9"/>
      <c r="C739" s="11"/>
      <c r="D739" s="11"/>
      <c r="E739" s="9"/>
      <c r="F739" s="10"/>
      <c r="G739" s="10"/>
      <c r="H739" s="10"/>
    </row>
    <row r="740" spans="1:8" ht="15.75" x14ac:dyDescent="0.25">
      <c r="A740" s="13"/>
      <c r="B740" s="9"/>
      <c r="C740" s="11"/>
      <c r="D740" s="11"/>
      <c r="E740" s="9"/>
      <c r="F740" s="10"/>
      <c r="G740" s="10"/>
      <c r="H740" s="10"/>
    </row>
    <row r="741" spans="1:8" ht="15.75" x14ac:dyDescent="0.25">
      <c r="A741" s="13"/>
      <c r="B741" s="9"/>
      <c r="C741" s="11"/>
      <c r="D741" s="11"/>
      <c r="E741" s="9"/>
      <c r="F741" s="10"/>
      <c r="G741" s="10"/>
      <c r="H741" s="10"/>
    </row>
    <row r="742" spans="1:8" ht="15.75" x14ac:dyDescent="0.25">
      <c r="A742" s="13"/>
      <c r="B742" s="9"/>
      <c r="C742" s="11"/>
      <c r="D742" s="11"/>
      <c r="E742" s="9"/>
      <c r="F742" s="10"/>
      <c r="G742" s="10"/>
      <c r="H742" s="10"/>
    </row>
    <row r="743" spans="1:8" ht="15.75" x14ac:dyDescent="0.25">
      <c r="A743" s="13"/>
      <c r="B743" s="9"/>
      <c r="C743" s="11"/>
      <c r="D743" s="11"/>
      <c r="E743" s="9"/>
      <c r="F743" s="10"/>
      <c r="G743" s="10"/>
      <c r="H743" s="10"/>
    </row>
    <row r="744" spans="1:8" ht="15.75" x14ac:dyDescent="0.25">
      <c r="A744" s="13"/>
      <c r="B744" s="9"/>
      <c r="C744" s="11"/>
      <c r="D744" s="11"/>
      <c r="E744" s="9"/>
      <c r="F744" s="10"/>
      <c r="G744" s="10"/>
      <c r="H744" s="10"/>
    </row>
    <row r="745" spans="1:8" ht="15.75" x14ac:dyDescent="0.25">
      <c r="A745" s="13"/>
      <c r="B745" s="9"/>
      <c r="C745" s="11"/>
      <c r="D745" s="11"/>
      <c r="E745" s="9"/>
      <c r="F745" s="10"/>
      <c r="G745" s="10"/>
      <c r="H745" s="10"/>
    </row>
    <row r="746" spans="1:8" ht="15.75" x14ac:dyDescent="0.25">
      <c r="A746" s="13"/>
      <c r="B746" s="9"/>
      <c r="C746" s="11"/>
      <c r="D746" s="11"/>
      <c r="E746" s="9"/>
      <c r="F746" s="10"/>
      <c r="G746" s="10"/>
      <c r="H746" s="10"/>
    </row>
    <row r="747" spans="1:8" ht="15.75" x14ac:dyDescent="0.25">
      <c r="A747" s="13"/>
      <c r="B747" s="9"/>
      <c r="C747" s="11"/>
      <c r="D747" s="11"/>
      <c r="E747" s="9"/>
      <c r="F747" s="10"/>
      <c r="G747" s="10"/>
      <c r="H747" s="10"/>
    </row>
    <row r="748" spans="1:8" ht="15.75" x14ac:dyDescent="0.25">
      <c r="A748" s="13"/>
      <c r="B748" s="9"/>
      <c r="C748" s="11"/>
      <c r="D748" s="11"/>
      <c r="E748" s="9"/>
      <c r="F748" s="10"/>
      <c r="G748" s="10"/>
      <c r="H748" s="10"/>
    </row>
    <row r="749" spans="1:8" ht="15.75" x14ac:dyDescent="0.25">
      <c r="A749" s="13"/>
      <c r="B749" s="9"/>
      <c r="C749" s="11"/>
      <c r="D749" s="11"/>
      <c r="E749" s="9"/>
      <c r="F749" s="10"/>
      <c r="G749" s="10"/>
      <c r="H749" s="10"/>
    </row>
    <row r="750" spans="1:8" ht="15.75" x14ac:dyDescent="0.25">
      <c r="A750" s="13"/>
      <c r="B750" s="9"/>
      <c r="C750" s="11"/>
      <c r="D750" s="11"/>
      <c r="E750" s="9"/>
      <c r="F750" s="10"/>
      <c r="G750" s="10"/>
      <c r="H750" s="10"/>
    </row>
    <row r="751" spans="1:8" ht="15.75" x14ac:dyDescent="0.25">
      <c r="A751" s="13"/>
      <c r="B751" s="9"/>
      <c r="C751" s="11"/>
      <c r="D751" s="11"/>
      <c r="E751" s="9"/>
      <c r="F751" s="10"/>
      <c r="G751" s="10"/>
      <c r="H751" s="10"/>
    </row>
    <row r="752" spans="1:8" ht="15.75" x14ac:dyDescent="0.25">
      <c r="A752" s="13"/>
      <c r="B752" s="9"/>
      <c r="C752" s="11"/>
      <c r="D752" s="11"/>
      <c r="E752" s="9"/>
      <c r="F752" s="10"/>
      <c r="G752" s="10"/>
      <c r="H752" s="10"/>
    </row>
    <row r="753" spans="1:8" ht="15.75" x14ac:dyDescent="0.25">
      <c r="A753" s="13"/>
      <c r="B753" s="9"/>
      <c r="C753" s="11"/>
      <c r="D753" s="11"/>
      <c r="E753" s="9"/>
      <c r="F753" s="10"/>
      <c r="G753" s="10"/>
      <c r="H753" s="10"/>
    </row>
    <row r="754" spans="1:8" ht="15.75" x14ac:dyDescent="0.25">
      <c r="A754" s="13"/>
      <c r="B754" s="9"/>
      <c r="C754" s="11"/>
      <c r="D754" s="11"/>
      <c r="E754" s="9"/>
      <c r="F754" s="10"/>
      <c r="G754" s="10"/>
      <c r="H754" s="10"/>
    </row>
    <row r="755" spans="1:8" ht="15.75" x14ac:dyDescent="0.25">
      <c r="A755" s="13"/>
      <c r="B755" s="9"/>
      <c r="C755" s="11"/>
      <c r="D755" s="11"/>
      <c r="E755" s="9"/>
      <c r="F755" s="10"/>
      <c r="G755" s="10"/>
      <c r="H755" s="10"/>
    </row>
    <row r="756" spans="1:8" ht="15.75" x14ac:dyDescent="0.25">
      <c r="A756" s="13"/>
      <c r="B756" s="9"/>
      <c r="C756" s="11"/>
      <c r="D756" s="11"/>
      <c r="E756" s="9"/>
      <c r="F756" s="10"/>
      <c r="G756" s="10"/>
      <c r="H756" s="10"/>
    </row>
    <row r="757" spans="1:8" ht="15.75" x14ac:dyDescent="0.25">
      <c r="A757" s="13"/>
      <c r="B757" s="9"/>
      <c r="C757" s="11"/>
      <c r="D757" s="11"/>
      <c r="E757" s="9"/>
      <c r="F757" s="10"/>
      <c r="G757" s="10"/>
      <c r="H757" s="10"/>
    </row>
    <row r="758" spans="1:8" ht="15.75" x14ac:dyDescent="0.25">
      <c r="A758" s="13"/>
      <c r="B758" s="9"/>
      <c r="C758" s="11"/>
      <c r="D758" s="11"/>
      <c r="E758" s="9"/>
      <c r="F758" s="10"/>
      <c r="G758" s="10"/>
      <c r="H758" s="10"/>
    </row>
    <row r="759" spans="1:8" ht="15.75" x14ac:dyDescent="0.25">
      <c r="A759" s="13"/>
      <c r="B759" s="9"/>
      <c r="C759" s="11"/>
      <c r="D759" s="11"/>
      <c r="E759" s="9"/>
      <c r="F759" s="10"/>
      <c r="G759" s="10"/>
      <c r="H759" s="10"/>
    </row>
    <row r="760" spans="1:8" ht="15.75" x14ac:dyDescent="0.25">
      <c r="A760" s="13"/>
      <c r="B760" s="9"/>
      <c r="C760" s="11"/>
      <c r="D760" s="11"/>
      <c r="E760" s="9"/>
      <c r="F760" s="10"/>
      <c r="G760" s="10"/>
      <c r="H760" s="10"/>
    </row>
    <row r="761" spans="1:8" ht="15.75" x14ac:dyDescent="0.25">
      <c r="A761" s="13"/>
      <c r="B761" s="9"/>
      <c r="C761" s="11"/>
      <c r="D761" s="11"/>
      <c r="E761" s="9"/>
      <c r="F761" s="10"/>
      <c r="G761" s="10"/>
      <c r="H761" s="10"/>
    </row>
    <row r="762" spans="1:8" ht="15.75" x14ac:dyDescent="0.25">
      <c r="A762" s="13"/>
      <c r="B762" s="9"/>
      <c r="C762" s="11"/>
      <c r="D762" s="11"/>
      <c r="E762" s="9"/>
      <c r="F762" s="10"/>
      <c r="G762" s="10"/>
      <c r="H762" s="10"/>
    </row>
    <row r="763" spans="1:8" ht="15.75" x14ac:dyDescent="0.25">
      <c r="A763" s="13"/>
      <c r="B763" s="9"/>
      <c r="C763" s="11"/>
      <c r="D763" s="11"/>
      <c r="E763" s="9"/>
      <c r="F763" s="10"/>
      <c r="G763" s="10"/>
      <c r="H763" s="10"/>
    </row>
    <row r="764" spans="1:8" ht="15.75" x14ac:dyDescent="0.25">
      <c r="A764" s="13"/>
      <c r="B764" s="9"/>
      <c r="C764" s="11"/>
      <c r="D764" s="11"/>
      <c r="E764" s="9"/>
      <c r="F764" s="10"/>
      <c r="G764" s="10"/>
      <c r="H764" s="10"/>
    </row>
    <row r="765" spans="1:8" ht="15.75" x14ac:dyDescent="0.25">
      <c r="A765" s="13"/>
      <c r="B765" s="9"/>
      <c r="C765" s="11"/>
      <c r="D765" s="11"/>
      <c r="E765" s="9"/>
      <c r="F765" s="10"/>
      <c r="G765" s="10"/>
      <c r="H765" s="10"/>
    </row>
    <row r="766" spans="1:8" ht="15.75" x14ac:dyDescent="0.25">
      <c r="A766" s="13"/>
      <c r="B766" s="9"/>
      <c r="C766" s="11"/>
      <c r="D766" s="11"/>
      <c r="E766" s="9"/>
      <c r="F766" s="10"/>
      <c r="G766" s="10"/>
      <c r="H766" s="10"/>
    </row>
    <row r="767" spans="1:8" ht="15.75" x14ac:dyDescent="0.25">
      <c r="A767" s="13"/>
      <c r="B767" s="9"/>
      <c r="C767" s="11"/>
      <c r="D767" s="11"/>
      <c r="E767" s="9"/>
      <c r="F767" s="10"/>
      <c r="G767" s="10"/>
      <c r="H767" s="10"/>
    </row>
    <row r="768" spans="1:8" ht="15.75" x14ac:dyDescent="0.25">
      <c r="A768" s="13"/>
      <c r="B768" s="9"/>
      <c r="C768" s="11"/>
      <c r="D768" s="11"/>
      <c r="E768" s="9"/>
      <c r="F768" s="10"/>
      <c r="G768" s="10"/>
      <c r="H768" s="10"/>
    </row>
    <row r="769" spans="1:8" ht="15.75" x14ac:dyDescent="0.25">
      <c r="A769" s="13"/>
      <c r="B769" s="9"/>
      <c r="C769" s="11"/>
      <c r="D769" s="11"/>
      <c r="E769" s="9"/>
      <c r="F769" s="10"/>
      <c r="G769" s="10"/>
      <c r="H769" s="10"/>
    </row>
    <row r="770" spans="1:8" ht="15.75" x14ac:dyDescent="0.25">
      <c r="A770" s="13"/>
      <c r="B770" s="9"/>
      <c r="C770" s="11"/>
      <c r="D770" s="11"/>
      <c r="E770" s="9"/>
      <c r="F770" s="10"/>
      <c r="G770" s="10"/>
      <c r="H770" s="10"/>
    </row>
    <row r="771" spans="1:8" ht="15.75" x14ac:dyDescent="0.25">
      <c r="A771" s="13"/>
      <c r="B771" s="9"/>
      <c r="C771" s="11"/>
      <c r="D771" s="11"/>
      <c r="E771" s="9"/>
      <c r="F771" s="10"/>
      <c r="G771" s="10"/>
      <c r="H771" s="10"/>
    </row>
    <row r="772" spans="1:8" ht="15.75" x14ac:dyDescent="0.25">
      <c r="A772" s="13"/>
      <c r="B772" s="9"/>
      <c r="C772" s="11"/>
      <c r="D772" s="11"/>
      <c r="E772" s="9"/>
      <c r="F772" s="10"/>
      <c r="G772" s="10"/>
      <c r="H772" s="10"/>
    </row>
    <row r="773" spans="1:8" ht="15.75" x14ac:dyDescent="0.25">
      <c r="A773" s="13"/>
      <c r="B773" s="9"/>
      <c r="C773" s="11"/>
      <c r="D773" s="11"/>
      <c r="E773" s="9"/>
      <c r="F773" s="10"/>
      <c r="G773" s="10"/>
      <c r="H773" s="10"/>
    </row>
    <row r="774" spans="1:8" ht="15.75" x14ac:dyDescent="0.25">
      <c r="A774" s="13"/>
      <c r="B774" s="9"/>
      <c r="C774" s="11"/>
      <c r="D774" s="11"/>
      <c r="E774" s="9"/>
      <c r="F774" s="10"/>
      <c r="G774" s="10"/>
      <c r="H774" s="10"/>
    </row>
    <row r="775" spans="1:8" ht="15.75" x14ac:dyDescent="0.25">
      <c r="A775" s="13"/>
      <c r="B775" s="9"/>
      <c r="C775" s="11"/>
      <c r="D775" s="11"/>
      <c r="E775" s="9"/>
      <c r="F775" s="10"/>
      <c r="G775" s="10"/>
      <c r="H775" s="10"/>
    </row>
    <row r="776" spans="1:8" ht="15.75" x14ac:dyDescent="0.25">
      <c r="A776" s="13"/>
      <c r="B776" s="9"/>
      <c r="C776" s="11"/>
      <c r="D776" s="11"/>
      <c r="E776" s="9"/>
      <c r="F776" s="10"/>
      <c r="G776" s="10"/>
      <c r="H776" s="10"/>
    </row>
    <row r="777" spans="1:8" ht="15.75" x14ac:dyDescent="0.25">
      <c r="A777" s="13"/>
      <c r="B777" s="9"/>
      <c r="C777" s="11"/>
      <c r="D777" s="11"/>
      <c r="E777" s="9"/>
      <c r="F777" s="10"/>
      <c r="G777" s="10"/>
      <c r="H777" s="10"/>
    </row>
    <row r="778" spans="1:8" ht="15.75" x14ac:dyDescent="0.25">
      <c r="A778" s="13"/>
      <c r="B778" s="9"/>
      <c r="C778" s="11"/>
      <c r="D778" s="11"/>
      <c r="E778" s="9"/>
      <c r="F778" s="10"/>
      <c r="G778" s="10"/>
      <c r="H778" s="10"/>
    </row>
    <row r="779" spans="1:8" ht="15.75" x14ac:dyDescent="0.25">
      <c r="A779" s="13"/>
      <c r="B779" s="9"/>
      <c r="C779" s="11"/>
      <c r="D779" s="11"/>
      <c r="E779" s="9"/>
      <c r="F779" s="10"/>
      <c r="G779" s="10"/>
      <c r="H779" s="10"/>
    </row>
    <row r="780" spans="1:8" ht="15.75" x14ac:dyDescent="0.25">
      <c r="A780" s="13"/>
      <c r="B780" s="9"/>
      <c r="C780" s="11"/>
      <c r="D780" s="11"/>
      <c r="E780" s="9"/>
      <c r="F780" s="10"/>
      <c r="G780" s="10"/>
      <c r="H780" s="10"/>
    </row>
    <row r="781" spans="1:8" ht="15.75" x14ac:dyDescent="0.25">
      <c r="A781" s="13"/>
      <c r="B781" s="9"/>
      <c r="C781" s="11"/>
      <c r="D781" s="11"/>
      <c r="E781" s="9"/>
      <c r="F781" s="10"/>
      <c r="G781" s="10"/>
      <c r="H781" s="10"/>
    </row>
    <row r="782" spans="1:8" ht="15.75" x14ac:dyDescent="0.25">
      <c r="A782" s="13"/>
      <c r="B782" s="9"/>
      <c r="C782" s="11"/>
      <c r="D782" s="11"/>
      <c r="E782" s="9"/>
      <c r="F782" s="10"/>
      <c r="G782" s="10"/>
      <c r="H782" s="10"/>
    </row>
    <row r="783" spans="1:8" ht="15.75" x14ac:dyDescent="0.25">
      <c r="A783" s="13"/>
      <c r="B783" s="9"/>
      <c r="C783" s="11"/>
      <c r="D783" s="11"/>
      <c r="E783" s="9"/>
      <c r="F783" s="10"/>
      <c r="G783" s="10"/>
      <c r="H783" s="10"/>
    </row>
    <row r="784" spans="1:8" ht="15.75" x14ac:dyDescent="0.25">
      <c r="A784" s="13"/>
      <c r="B784" s="9"/>
      <c r="C784" s="11"/>
      <c r="D784" s="11"/>
      <c r="E784" s="9"/>
      <c r="F784" s="10"/>
      <c r="G784" s="10"/>
      <c r="H784" s="10"/>
    </row>
    <row r="785" spans="1:8" ht="15.75" x14ac:dyDescent="0.25">
      <c r="A785" s="13"/>
      <c r="B785" s="9"/>
      <c r="C785" s="11"/>
      <c r="D785" s="11"/>
      <c r="E785" s="9"/>
      <c r="F785" s="10"/>
      <c r="G785" s="10"/>
      <c r="H785" s="10"/>
    </row>
    <row r="786" spans="1:8" ht="15.75" x14ac:dyDescent="0.25">
      <c r="A786" s="13"/>
      <c r="B786" s="9"/>
      <c r="C786" s="11"/>
      <c r="D786" s="11"/>
      <c r="E786" s="9"/>
      <c r="F786" s="10"/>
      <c r="G786" s="10"/>
      <c r="H786" s="10"/>
    </row>
    <row r="787" spans="1:8" ht="15.75" x14ac:dyDescent="0.25">
      <c r="A787" s="13"/>
      <c r="B787" s="9"/>
      <c r="C787" s="11"/>
      <c r="D787" s="11"/>
      <c r="E787" s="9"/>
      <c r="F787" s="10"/>
      <c r="G787" s="10"/>
      <c r="H787" s="10"/>
    </row>
    <row r="788" spans="1:8" ht="15.75" x14ac:dyDescent="0.25">
      <c r="A788" s="13"/>
      <c r="B788" s="9"/>
      <c r="C788" s="11"/>
      <c r="D788" s="11"/>
      <c r="E788" s="9"/>
      <c r="F788" s="10"/>
      <c r="G788" s="10"/>
      <c r="H788" s="10"/>
    </row>
    <row r="789" spans="1:8" ht="15.75" x14ac:dyDescent="0.25">
      <c r="A789" s="13"/>
      <c r="B789" s="9"/>
      <c r="C789" s="11"/>
      <c r="D789" s="11"/>
      <c r="E789" s="9"/>
      <c r="F789" s="10"/>
      <c r="G789" s="10"/>
      <c r="H789" s="10"/>
    </row>
    <row r="790" spans="1:8" ht="15.75" x14ac:dyDescent="0.25">
      <c r="A790" s="13"/>
      <c r="B790" s="9"/>
      <c r="C790" s="11"/>
      <c r="D790" s="11"/>
      <c r="E790" s="9"/>
      <c r="F790" s="10"/>
      <c r="G790" s="10"/>
      <c r="H790" s="10"/>
    </row>
    <row r="791" spans="1:8" ht="15.75" x14ac:dyDescent="0.25">
      <c r="A791" s="13"/>
      <c r="B791" s="9"/>
      <c r="C791" s="11"/>
      <c r="D791" s="11"/>
      <c r="E791" s="9"/>
      <c r="F791" s="10"/>
      <c r="G791" s="10"/>
      <c r="H791" s="10"/>
    </row>
    <row r="792" spans="1:8" ht="15.75" x14ac:dyDescent="0.25">
      <c r="A792" s="13"/>
      <c r="B792" s="9"/>
      <c r="C792" s="11"/>
      <c r="D792" s="11"/>
      <c r="E792" s="9"/>
      <c r="F792" s="10"/>
      <c r="G792" s="10"/>
      <c r="H792" s="10"/>
    </row>
    <row r="793" spans="1:8" ht="15.75" x14ac:dyDescent="0.25">
      <c r="A793" s="13"/>
      <c r="B793" s="9"/>
      <c r="C793" s="11"/>
      <c r="D793" s="11"/>
      <c r="E793" s="9"/>
      <c r="F793" s="10"/>
      <c r="G793" s="10"/>
      <c r="H793" s="10"/>
    </row>
    <row r="794" spans="1:8" ht="15.75" x14ac:dyDescent="0.25">
      <c r="A794" s="13"/>
      <c r="B794" s="9"/>
      <c r="C794" s="11"/>
      <c r="D794" s="11"/>
      <c r="E794" s="9"/>
      <c r="F794" s="10"/>
      <c r="G794" s="10"/>
      <c r="H794" s="10"/>
    </row>
    <row r="795" spans="1:8" ht="15.75" x14ac:dyDescent="0.25">
      <c r="A795" s="13"/>
      <c r="B795" s="9"/>
      <c r="C795" s="11"/>
      <c r="D795" s="11"/>
      <c r="E795" s="9"/>
      <c r="F795" s="10"/>
      <c r="G795" s="10"/>
      <c r="H795" s="10"/>
    </row>
    <row r="796" spans="1:8" ht="15.75" x14ac:dyDescent="0.25">
      <c r="A796" s="13"/>
      <c r="B796" s="9"/>
      <c r="C796" s="11"/>
      <c r="D796" s="11"/>
      <c r="E796" s="9"/>
      <c r="F796" s="10"/>
      <c r="G796" s="10"/>
      <c r="H796" s="10"/>
    </row>
    <row r="797" spans="1:8" ht="15.75" x14ac:dyDescent="0.25">
      <c r="A797" s="13"/>
      <c r="B797" s="9"/>
      <c r="C797" s="11"/>
      <c r="D797" s="11"/>
      <c r="E797" s="9"/>
      <c r="F797" s="10"/>
      <c r="G797" s="10"/>
      <c r="H797" s="10"/>
    </row>
    <row r="798" spans="1:8" ht="15.75" x14ac:dyDescent="0.25">
      <c r="A798" s="13"/>
      <c r="B798" s="9"/>
      <c r="C798" s="11"/>
      <c r="D798" s="11"/>
      <c r="E798" s="9"/>
      <c r="F798" s="10"/>
      <c r="G798" s="10"/>
      <c r="H798" s="10"/>
    </row>
    <row r="799" spans="1:8" ht="15.75" x14ac:dyDescent="0.25">
      <c r="A799" s="13"/>
      <c r="B799" s="9"/>
      <c r="C799" s="11"/>
      <c r="D799" s="11"/>
      <c r="E799" s="9"/>
      <c r="F799" s="10"/>
      <c r="G799" s="10"/>
      <c r="H799" s="10"/>
    </row>
    <row r="800" spans="1:8" ht="15.75" x14ac:dyDescent="0.25">
      <c r="A800" s="13"/>
      <c r="B800" s="9"/>
      <c r="C800" s="11"/>
      <c r="D800" s="11"/>
      <c r="E800" s="9"/>
      <c r="F800" s="10"/>
      <c r="G800" s="10"/>
      <c r="H800" s="10"/>
    </row>
    <row r="801" spans="1:8" ht="15.75" x14ac:dyDescent="0.25">
      <c r="A801" s="13"/>
      <c r="B801" s="9"/>
      <c r="C801" s="11"/>
      <c r="D801" s="11"/>
      <c r="E801" s="9"/>
      <c r="F801" s="10"/>
      <c r="G801" s="10"/>
      <c r="H801" s="10"/>
    </row>
    <row r="802" spans="1:8" ht="15.75" x14ac:dyDescent="0.25">
      <c r="A802" s="13"/>
      <c r="B802" s="9"/>
      <c r="C802" s="11"/>
      <c r="D802" s="11"/>
      <c r="E802" s="9"/>
      <c r="F802" s="10"/>
      <c r="G802" s="10"/>
      <c r="H802" s="10"/>
    </row>
    <row r="803" spans="1:8" ht="15.75" x14ac:dyDescent="0.25">
      <c r="A803" s="13"/>
      <c r="B803" s="9"/>
      <c r="C803" s="11"/>
      <c r="D803" s="11"/>
      <c r="E803" s="9"/>
      <c r="F803" s="10"/>
      <c r="G803" s="10"/>
      <c r="H803" s="10"/>
    </row>
    <row r="804" spans="1:8" ht="15.75" x14ac:dyDescent="0.25">
      <c r="A804" s="13"/>
      <c r="B804" s="9"/>
      <c r="C804" s="11"/>
      <c r="D804" s="11"/>
      <c r="E804" s="9"/>
      <c r="F804" s="10"/>
      <c r="G804" s="10"/>
      <c r="H804" s="10"/>
    </row>
    <row r="805" spans="1:8" ht="15.75" x14ac:dyDescent="0.25">
      <c r="A805" s="13"/>
      <c r="B805" s="9"/>
      <c r="C805" s="11"/>
      <c r="D805" s="11"/>
      <c r="E805" s="9"/>
      <c r="F805" s="10"/>
      <c r="G805" s="10"/>
      <c r="H805" s="10"/>
    </row>
    <row r="806" spans="1:8" ht="15.75" x14ac:dyDescent="0.25">
      <c r="A806" s="13"/>
      <c r="B806" s="9"/>
      <c r="C806" s="11"/>
      <c r="D806" s="11"/>
      <c r="E806" s="9"/>
      <c r="F806" s="10"/>
      <c r="G806" s="10"/>
      <c r="H806" s="10"/>
    </row>
    <row r="807" spans="1:8" ht="15.75" x14ac:dyDescent="0.25">
      <c r="A807" s="13"/>
      <c r="B807" s="9"/>
      <c r="C807" s="11"/>
      <c r="D807" s="11"/>
      <c r="E807" s="9"/>
      <c r="F807" s="10"/>
      <c r="G807" s="10"/>
      <c r="H807" s="10"/>
    </row>
    <row r="808" spans="1:8" ht="15.75" x14ac:dyDescent="0.25">
      <c r="A808" s="13"/>
      <c r="B808" s="9"/>
      <c r="C808" s="11"/>
      <c r="D808" s="11"/>
      <c r="E808" s="9"/>
      <c r="F808" s="10"/>
      <c r="G808" s="10"/>
      <c r="H808" s="10"/>
    </row>
    <row r="809" spans="1:8" ht="15.75" x14ac:dyDescent="0.25">
      <c r="A809" s="13"/>
      <c r="B809" s="9"/>
      <c r="C809" s="11"/>
      <c r="D809" s="11"/>
      <c r="E809" s="9"/>
      <c r="F809" s="10"/>
      <c r="G809" s="10"/>
      <c r="H809" s="10"/>
    </row>
    <row r="810" spans="1:8" ht="15.75" x14ac:dyDescent="0.25">
      <c r="A810" s="13"/>
      <c r="B810" s="9"/>
      <c r="C810" s="11"/>
      <c r="D810" s="11"/>
      <c r="E810" s="9"/>
      <c r="F810" s="10"/>
      <c r="G810" s="10"/>
      <c r="H810" s="10"/>
    </row>
    <row r="811" spans="1:8" ht="15.75" x14ac:dyDescent="0.25">
      <c r="A811" s="13"/>
      <c r="B811" s="9"/>
      <c r="C811" s="11"/>
      <c r="D811" s="11"/>
      <c r="E811" s="9"/>
      <c r="F811" s="10"/>
      <c r="G811" s="10"/>
      <c r="H811" s="10"/>
    </row>
    <row r="812" spans="1:8" ht="15.75" x14ac:dyDescent="0.25">
      <c r="A812" s="13"/>
      <c r="B812" s="9"/>
      <c r="C812" s="11"/>
      <c r="D812" s="11"/>
      <c r="E812" s="9"/>
      <c r="F812" s="10"/>
      <c r="G812" s="10"/>
      <c r="H812" s="10"/>
    </row>
    <row r="813" spans="1:8" ht="15.75" x14ac:dyDescent="0.25">
      <c r="A813" s="13"/>
      <c r="B813" s="9"/>
      <c r="C813" s="11"/>
      <c r="D813" s="11"/>
      <c r="E813" s="9"/>
      <c r="F813" s="10"/>
      <c r="G813" s="10"/>
      <c r="H813" s="10"/>
    </row>
    <row r="814" spans="1:8" ht="15.75" x14ac:dyDescent="0.25">
      <c r="A814" s="13"/>
      <c r="B814" s="9"/>
      <c r="C814" s="11"/>
      <c r="D814" s="11"/>
      <c r="E814" s="9"/>
      <c r="F814" s="10"/>
      <c r="G814" s="10"/>
      <c r="H814" s="10"/>
    </row>
    <row r="815" spans="1:8" ht="15.75" x14ac:dyDescent="0.25">
      <c r="A815" s="13"/>
      <c r="B815" s="9"/>
      <c r="C815" s="11"/>
      <c r="D815" s="11"/>
      <c r="E815" s="9"/>
      <c r="F815" s="10"/>
      <c r="G815" s="10"/>
      <c r="H815" s="10"/>
    </row>
    <row r="816" spans="1:8" ht="15.75" x14ac:dyDescent="0.25">
      <c r="A816" s="13"/>
      <c r="B816" s="9"/>
      <c r="C816" s="11"/>
      <c r="D816" s="11"/>
      <c r="E816" s="9"/>
      <c r="F816" s="10"/>
      <c r="G816" s="10"/>
      <c r="H816" s="10"/>
    </row>
    <row r="817" spans="1:8" ht="15.75" x14ac:dyDescent="0.25">
      <c r="A817" s="13"/>
      <c r="B817" s="9"/>
      <c r="C817" s="11"/>
      <c r="D817" s="11"/>
      <c r="E817" s="9"/>
      <c r="F817" s="10"/>
      <c r="G817" s="10"/>
      <c r="H817" s="10"/>
    </row>
    <row r="818" spans="1:8" ht="15.75" x14ac:dyDescent="0.25">
      <c r="A818" s="13"/>
      <c r="B818" s="9"/>
      <c r="C818" s="11"/>
      <c r="D818" s="11"/>
      <c r="E818" s="9"/>
      <c r="F818" s="10"/>
      <c r="G818" s="10"/>
      <c r="H818" s="10"/>
    </row>
    <row r="819" spans="1:8" ht="15.75" x14ac:dyDescent="0.25">
      <c r="A819" s="13"/>
      <c r="B819" s="9"/>
      <c r="C819" s="11"/>
      <c r="D819" s="11"/>
      <c r="E819" s="9"/>
      <c r="F819" s="10"/>
      <c r="G819" s="10"/>
      <c r="H819" s="10"/>
    </row>
    <row r="820" spans="1:8" ht="15.75" x14ac:dyDescent="0.25">
      <c r="A820" s="13"/>
      <c r="B820" s="9"/>
      <c r="C820" s="11"/>
      <c r="D820" s="11"/>
      <c r="E820" s="9"/>
      <c r="F820" s="10"/>
      <c r="G820" s="10"/>
      <c r="H820" s="10"/>
    </row>
    <row r="821" spans="1:8" ht="15.75" x14ac:dyDescent="0.25">
      <c r="A821" s="13"/>
      <c r="B821" s="9"/>
      <c r="C821" s="11"/>
      <c r="D821" s="11"/>
      <c r="E821" s="9"/>
      <c r="F821" s="10"/>
      <c r="G821" s="10"/>
      <c r="H821" s="10"/>
    </row>
    <row r="822" spans="1:8" ht="15.75" x14ac:dyDescent="0.25">
      <c r="A822" s="13"/>
      <c r="B822" s="9"/>
      <c r="C822" s="11"/>
      <c r="D822" s="11"/>
      <c r="E822" s="9"/>
      <c r="F822" s="10"/>
      <c r="G822" s="10"/>
      <c r="H822" s="10"/>
    </row>
    <row r="823" spans="1:8" ht="15.75" x14ac:dyDescent="0.25">
      <c r="A823" s="13"/>
      <c r="B823" s="9"/>
      <c r="C823" s="11"/>
      <c r="D823" s="11"/>
      <c r="E823" s="9"/>
      <c r="F823" s="10"/>
      <c r="G823" s="10"/>
      <c r="H823" s="10"/>
    </row>
    <row r="824" spans="1:8" ht="15.75" x14ac:dyDescent="0.25">
      <c r="A824" s="13"/>
      <c r="B824" s="9"/>
      <c r="C824" s="11"/>
      <c r="D824" s="11"/>
      <c r="E824" s="9"/>
      <c r="F824" s="10"/>
      <c r="G824" s="10"/>
      <c r="H824" s="10"/>
    </row>
    <row r="825" spans="1:8" ht="15.75" x14ac:dyDescent="0.25">
      <c r="A825" s="13"/>
      <c r="B825" s="9"/>
      <c r="C825" s="11"/>
      <c r="D825" s="11"/>
      <c r="E825" s="9"/>
      <c r="F825" s="10"/>
      <c r="G825" s="10"/>
      <c r="H825" s="10"/>
    </row>
    <row r="826" spans="1:8" ht="15.75" x14ac:dyDescent="0.25">
      <c r="A826" s="13"/>
      <c r="B826" s="9"/>
      <c r="C826" s="11"/>
      <c r="D826" s="11"/>
      <c r="E826" s="9"/>
      <c r="F826" s="10"/>
      <c r="G826" s="10"/>
      <c r="H826" s="10"/>
    </row>
    <row r="827" spans="1:8" ht="15.75" x14ac:dyDescent="0.25">
      <c r="A827" s="13"/>
      <c r="B827" s="9"/>
      <c r="C827" s="11"/>
      <c r="D827" s="11"/>
      <c r="E827" s="9"/>
      <c r="F827" s="10"/>
      <c r="G827" s="10"/>
      <c r="H827" s="10"/>
    </row>
    <row r="828" spans="1:8" ht="15.75" x14ac:dyDescent="0.25">
      <c r="A828" s="13"/>
      <c r="B828" s="9"/>
      <c r="C828" s="11"/>
      <c r="D828" s="11"/>
      <c r="E828" s="9"/>
      <c r="F828" s="10"/>
      <c r="G828" s="10"/>
      <c r="H828" s="10"/>
    </row>
    <row r="829" spans="1:8" ht="15.75" x14ac:dyDescent="0.25">
      <c r="A829" s="13"/>
      <c r="B829" s="9"/>
      <c r="C829" s="11"/>
      <c r="D829" s="11"/>
      <c r="E829" s="9"/>
      <c r="F829" s="10"/>
      <c r="G829" s="10"/>
      <c r="H829" s="10"/>
    </row>
    <row r="830" spans="1:8" ht="15.75" x14ac:dyDescent="0.25">
      <c r="A830" s="13"/>
      <c r="B830" s="9"/>
      <c r="C830" s="11"/>
      <c r="D830" s="11"/>
      <c r="E830" s="9"/>
      <c r="F830" s="10"/>
      <c r="G830" s="10"/>
      <c r="H830" s="10"/>
    </row>
    <row r="831" spans="1:8" ht="15.75" x14ac:dyDescent="0.25">
      <c r="A831" s="13"/>
      <c r="B831" s="9"/>
      <c r="C831" s="11"/>
      <c r="D831" s="11"/>
      <c r="E831" s="9"/>
      <c r="F831" s="10"/>
      <c r="G831" s="10"/>
      <c r="H831" s="10"/>
    </row>
    <row r="832" spans="1:8" ht="15.75" x14ac:dyDescent="0.25">
      <c r="A832" s="13"/>
      <c r="B832" s="9"/>
      <c r="C832" s="11"/>
      <c r="D832" s="11"/>
      <c r="E832" s="9"/>
      <c r="F832" s="10"/>
      <c r="G832" s="10"/>
      <c r="H832" s="10"/>
    </row>
    <row r="833" spans="1:8" ht="15.75" x14ac:dyDescent="0.25">
      <c r="A833" s="13"/>
      <c r="B833" s="9"/>
      <c r="C833" s="11"/>
      <c r="D833" s="11"/>
      <c r="E833" s="9"/>
      <c r="F833" s="10"/>
      <c r="G833" s="10"/>
      <c r="H833" s="10"/>
    </row>
    <row r="834" spans="1:8" ht="15.75" x14ac:dyDescent="0.25">
      <c r="A834" s="13"/>
      <c r="B834" s="9"/>
      <c r="C834" s="11"/>
      <c r="D834" s="11"/>
      <c r="E834" s="9"/>
      <c r="F834" s="10"/>
      <c r="G834" s="10"/>
      <c r="H834" s="10"/>
    </row>
    <row r="835" spans="1:8" ht="15.75" x14ac:dyDescent="0.25">
      <c r="A835" s="13"/>
      <c r="B835" s="9"/>
      <c r="C835" s="11"/>
      <c r="D835" s="11"/>
      <c r="E835" s="9"/>
      <c r="F835" s="10"/>
      <c r="G835" s="10"/>
      <c r="H835" s="10"/>
    </row>
    <row r="836" spans="1:8" ht="15.75" x14ac:dyDescent="0.25">
      <c r="A836" s="13"/>
      <c r="B836" s="9"/>
      <c r="C836" s="11"/>
      <c r="D836" s="11"/>
      <c r="E836" s="9"/>
      <c r="F836" s="10"/>
      <c r="G836" s="10"/>
      <c r="H836" s="10"/>
    </row>
    <row r="837" spans="1:8" ht="15.75" x14ac:dyDescent="0.25">
      <c r="A837" s="13"/>
      <c r="B837" s="9"/>
      <c r="C837" s="11"/>
      <c r="D837" s="11"/>
      <c r="E837" s="9"/>
      <c r="F837" s="10"/>
      <c r="G837" s="10"/>
      <c r="H837" s="10"/>
    </row>
    <row r="838" spans="1:8" ht="15.75" x14ac:dyDescent="0.25">
      <c r="A838" s="13"/>
      <c r="B838" s="9"/>
      <c r="C838" s="11"/>
      <c r="D838" s="11"/>
      <c r="E838" s="9"/>
      <c r="F838" s="10"/>
      <c r="G838" s="10"/>
      <c r="H838" s="10"/>
    </row>
    <row r="839" spans="1:8" ht="15.75" x14ac:dyDescent="0.25">
      <c r="A839" s="13"/>
      <c r="B839" s="9"/>
      <c r="C839" s="11"/>
      <c r="D839" s="11"/>
      <c r="E839" s="9"/>
      <c r="F839" s="10"/>
      <c r="G839" s="10"/>
      <c r="H839" s="10"/>
    </row>
    <row r="840" spans="1:8" ht="15.75" x14ac:dyDescent="0.25">
      <c r="A840" s="13"/>
      <c r="B840" s="9"/>
      <c r="C840" s="11"/>
      <c r="D840" s="11"/>
      <c r="E840" s="9"/>
      <c r="F840" s="10"/>
      <c r="G840" s="10"/>
      <c r="H840" s="10"/>
    </row>
    <row r="841" spans="1:8" ht="15.75" x14ac:dyDescent="0.25">
      <c r="A841" s="13"/>
      <c r="B841" s="9"/>
      <c r="C841" s="11"/>
      <c r="D841" s="11"/>
      <c r="E841" s="9"/>
      <c r="F841" s="10"/>
      <c r="G841" s="10"/>
      <c r="H841" s="10"/>
    </row>
    <row r="842" spans="1:8" ht="15.75" x14ac:dyDescent="0.25">
      <c r="A842" s="13"/>
      <c r="B842" s="9"/>
      <c r="C842" s="11"/>
      <c r="D842" s="11"/>
      <c r="E842" s="9"/>
      <c r="F842" s="10"/>
      <c r="G842" s="10"/>
      <c r="H842" s="10"/>
    </row>
    <row r="843" spans="1:8" ht="15.75" x14ac:dyDescent="0.25">
      <c r="A843" s="13"/>
      <c r="B843" s="9"/>
      <c r="C843" s="11"/>
      <c r="D843" s="11"/>
      <c r="E843" s="9"/>
      <c r="F843" s="10"/>
      <c r="G843" s="10"/>
      <c r="H843" s="10"/>
    </row>
    <row r="844" spans="1:8" ht="15.75" x14ac:dyDescent="0.25">
      <c r="A844" s="13"/>
      <c r="B844" s="9"/>
      <c r="C844" s="11"/>
      <c r="D844" s="11"/>
      <c r="E844" s="9"/>
      <c r="F844" s="10"/>
      <c r="G844" s="10"/>
      <c r="H844" s="10"/>
    </row>
    <row r="845" spans="1:8" ht="15.75" x14ac:dyDescent="0.25">
      <c r="A845" s="13"/>
      <c r="B845" s="9"/>
      <c r="C845" s="11"/>
      <c r="D845" s="11"/>
      <c r="E845" s="9"/>
      <c r="F845" s="10"/>
      <c r="G845" s="10"/>
      <c r="H845" s="10"/>
    </row>
    <row r="846" spans="1:8" ht="15.75" x14ac:dyDescent="0.25">
      <c r="A846" s="13"/>
      <c r="B846" s="9"/>
      <c r="C846" s="11"/>
      <c r="D846" s="11"/>
      <c r="E846" s="9"/>
      <c r="F846" s="10"/>
      <c r="G846" s="10"/>
      <c r="H846" s="10"/>
    </row>
    <row r="847" spans="1:8" ht="15.75" x14ac:dyDescent="0.25">
      <c r="A847" s="13"/>
      <c r="B847" s="9"/>
      <c r="C847" s="11"/>
      <c r="D847" s="11"/>
      <c r="E847" s="9"/>
      <c r="F847" s="10"/>
      <c r="G847" s="10"/>
      <c r="H847" s="10"/>
    </row>
    <row r="848" spans="1:8" ht="15.75" x14ac:dyDescent="0.25">
      <c r="A848" s="13"/>
      <c r="B848" s="9"/>
      <c r="C848" s="11"/>
      <c r="D848" s="11"/>
      <c r="E848" s="9"/>
      <c r="F848" s="10"/>
      <c r="G848" s="10"/>
      <c r="H848" s="10"/>
    </row>
    <row r="849" spans="1:8" ht="15.75" x14ac:dyDescent="0.25">
      <c r="A849" s="13"/>
      <c r="B849" s="9"/>
      <c r="C849" s="11"/>
      <c r="D849" s="11"/>
      <c r="E849" s="9"/>
      <c r="F849" s="10"/>
      <c r="G849" s="10"/>
      <c r="H849" s="10"/>
    </row>
    <row r="850" spans="1:8" ht="15.75" x14ac:dyDescent="0.25">
      <c r="A850" s="13"/>
      <c r="B850" s="9"/>
      <c r="C850" s="11"/>
      <c r="D850" s="11"/>
      <c r="E850" s="9"/>
      <c r="F850" s="10"/>
      <c r="G850" s="10"/>
      <c r="H850" s="10"/>
    </row>
    <row r="851" spans="1:8" ht="15.75" x14ac:dyDescent="0.25">
      <c r="A851" s="13"/>
      <c r="B851" s="9"/>
      <c r="C851" s="11"/>
      <c r="D851" s="11"/>
      <c r="E851" s="9"/>
      <c r="F851" s="10"/>
      <c r="G851" s="10"/>
      <c r="H851" s="10"/>
    </row>
    <row r="852" spans="1:8" ht="15.75" x14ac:dyDescent="0.25">
      <c r="A852" s="13"/>
      <c r="B852" s="9"/>
      <c r="C852" s="11"/>
      <c r="D852" s="11"/>
      <c r="E852" s="9"/>
      <c r="F852" s="10"/>
      <c r="G852" s="10"/>
      <c r="H852" s="10"/>
    </row>
    <row r="853" spans="1:8" ht="15.75" x14ac:dyDescent="0.25">
      <c r="A853" s="13"/>
      <c r="B853" s="9"/>
      <c r="C853" s="11"/>
      <c r="D853" s="11"/>
      <c r="E853" s="9"/>
      <c r="F853" s="10"/>
      <c r="G853" s="10"/>
      <c r="H853" s="10"/>
    </row>
    <row r="854" spans="1:8" ht="15.75" x14ac:dyDescent="0.25">
      <c r="A854" s="13"/>
      <c r="B854" s="9"/>
      <c r="C854" s="11"/>
      <c r="D854" s="11"/>
      <c r="E854" s="9"/>
      <c r="F854" s="10"/>
      <c r="G854" s="10"/>
      <c r="H854" s="10"/>
    </row>
    <row r="855" spans="1:8" ht="15.75" x14ac:dyDescent="0.25">
      <c r="A855" s="13"/>
      <c r="B855" s="9"/>
      <c r="C855" s="11"/>
      <c r="D855" s="11"/>
      <c r="E855" s="9"/>
      <c r="F855" s="10"/>
      <c r="G855" s="10"/>
      <c r="H855" s="10"/>
    </row>
    <row r="856" spans="1:8" ht="15.75" x14ac:dyDescent="0.25">
      <c r="A856" s="13"/>
      <c r="B856" s="9"/>
      <c r="C856" s="11"/>
      <c r="D856" s="11"/>
      <c r="E856" s="9"/>
      <c r="F856" s="10"/>
      <c r="G856" s="10"/>
      <c r="H856" s="10"/>
    </row>
    <row r="857" spans="1:8" ht="15.75" x14ac:dyDescent="0.25">
      <c r="A857" s="13"/>
      <c r="B857" s="9"/>
      <c r="C857" s="11"/>
      <c r="D857" s="11"/>
      <c r="E857" s="9"/>
      <c r="F857" s="10"/>
      <c r="G857" s="10"/>
      <c r="H857" s="10"/>
    </row>
    <row r="858" spans="1:8" ht="15.75" x14ac:dyDescent="0.25">
      <c r="A858" s="13"/>
      <c r="B858" s="9"/>
      <c r="C858" s="11"/>
      <c r="D858" s="11"/>
      <c r="E858" s="9"/>
      <c r="F858" s="10"/>
      <c r="G858" s="10"/>
      <c r="H858" s="10"/>
    </row>
    <row r="859" spans="1:8" ht="15.75" x14ac:dyDescent="0.25">
      <c r="A859" s="13"/>
      <c r="B859" s="9"/>
      <c r="C859" s="11"/>
      <c r="D859" s="11"/>
      <c r="E859" s="9"/>
      <c r="F859" s="10"/>
      <c r="G859" s="10"/>
      <c r="H859" s="10"/>
    </row>
    <row r="860" spans="1:8" ht="15.75" x14ac:dyDescent="0.25">
      <c r="A860" s="13"/>
      <c r="B860" s="9"/>
      <c r="C860" s="11"/>
      <c r="D860" s="11"/>
      <c r="E860" s="9"/>
      <c r="F860" s="10"/>
      <c r="G860" s="10"/>
      <c r="H860" s="10"/>
    </row>
    <row r="861" spans="1:8" ht="15.75" x14ac:dyDescent="0.25">
      <c r="A861" s="13"/>
      <c r="B861" s="9"/>
      <c r="C861" s="11"/>
      <c r="D861" s="11"/>
      <c r="E861" s="9"/>
      <c r="F861" s="10"/>
      <c r="G861" s="10"/>
      <c r="H861" s="10"/>
    </row>
    <row r="862" spans="1:8" ht="15.75" x14ac:dyDescent="0.25">
      <c r="A862" s="13"/>
      <c r="B862" s="9"/>
      <c r="C862" s="11"/>
      <c r="D862" s="11"/>
      <c r="E862" s="9"/>
      <c r="F862" s="10"/>
      <c r="G862" s="10"/>
      <c r="H862" s="10"/>
    </row>
    <row r="863" spans="1:8" ht="15.75" x14ac:dyDescent="0.25">
      <c r="A863" s="13"/>
      <c r="B863" s="9"/>
      <c r="C863" s="11"/>
      <c r="D863" s="11"/>
      <c r="E863" s="9"/>
      <c r="F863" s="10"/>
      <c r="G863" s="10"/>
      <c r="H863" s="10"/>
    </row>
    <row r="864" spans="1:8" ht="15.75" x14ac:dyDescent="0.25">
      <c r="A864" s="13"/>
      <c r="B864" s="9"/>
      <c r="C864" s="11"/>
      <c r="D864" s="11"/>
      <c r="E864" s="9"/>
      <c r="F864" s="10"/>
      <c r="G864" s="10"/>
      <c r="H864" s="10"/>
    </row>
    <row r="865" spans="1:8" ht="15.75" x14ac:dyDescent="0.25">
      <c r="A865" s="13"/>
      <c r="B865" s="9"/>
      <c r="C865" s="11"/>
      <c r="D865" s="11"/>
      <c r="E865" s="9"/>
      <c r="F865" s="10"/>
      <c r="G865" s="10"/>
      <c r="H865" s="10"/>
    </row>
    <row r="866" spans="1:8" ht="15.75" x14ac:dyDescent="0.25">
      <c r="A866" s="13"/>
      <c r="B866" s="9"/>
      <c r="C866" s="11"/>
      <c r="D866" s="11"/>
      <c r="E866" s="9"/>
      <c r="F866" s="10"/>
      <c r="G866" s="10"/>
      <c r="H866" s="10"/>
    </row>
    <row r="867" spans="1:8" ht="15.75" x14ac:dyDescent="0.25">
      <c r="A867" s="13"/>
      <c r="B867" s="9"/>
      <c r="C867" s="11"/>
      <c r="D867" s="11"/>
      <c r="E867" s="9"/>
      <c r="F867" s="10"/>
      <c r="G867" s="10"/>
      <c r="H867" s="10"/>
    </row>
    <row r="868" spans="1:8" ht="15.75" x14ac:dyDescent="0.25">
      <c r="A868" s="13"/>
      <c r="B868" s="9"/>
      <c r="C868" s="11"/>
      <c r="D868" s="11"/>
      <c r="E868" s="9"/>
      <c r="F868" s="10"/>
      <c r="G868" s="10"/>
      <c r="H868" s="10"/>
    </row>
    <row r="869" spans="1:8" ht="15.75" x14ac:dyDescent="0.25">
      <c r="A869" s="13"/>
      <c r="B869" s="9"/>
      <c r="C869" s="11"/>
      <c r="D869" s="11"/>
      <c r="E869" s="9"/>
      <c r="F869" s="10"/>
      <c r="G869" s="10"/>
      <c r="H869" s="10"/>
    </row>
    <row r="870" spans="1:8" ht="15.75" x14ac:dyDescent="0.25">
      <c r="A870" s="13"/>
      <c r="B870" s="9"/>
      <c r="C870" s="11"/>
      <c r="D870" s="11"/>
      <c r="E870" s="9"/>
      <c r="F870" s="10"/>
      <c r="G870" s="10"/>
      <c r="H870" s="10"/>
    </row>
    <row r="871" spans="1:8" ht="15.75" x14ac:dyDescent="0.25">
      <c r="A871" s="13"/>
      <c r="B871" s="9"/>
      <c r="C871" s="11"/>
      <c r="D871" s="11"/>
      <c r="E871" s="9"/>
      <c r="F871" s="10"/>
      <c r="G871" s="10"/>
      <c r="H871" s="10"/>
    </row>
    <row r="872" spans="1:8" ht="15.75" x14ac:dyDescent="0.25">
      <c r="A872" s="13"/>
      <c r="B872" s="9"/>
      <c r="C872" s="11"/>
      <c r="D872" s="11"/>
      <c r="E872" s="9"/>
      <c r="F872" s="10"/>
      <c r="G872" s="10"/>
      <c r="H872" s="10"/>
    </row>
    <row r="873" spans="1:8" ht="15.75" x14ac:dyDescent="0.25">
      <c r="A873" s="13"/>
      <c r="B873" s="9"/>
      <c r="C873" s="11"/>
      <c r="D873" s="11"/>
      <c r="E873" s="9"/>
      <c r="F873" s="10"/>
      <c r="G873" s="10"/>
      <c r="H873" s="10"/>
    </row>
    <row r="874" spans="1:8" ht="15.75" x14ac:dyDescent="0.25">
      <c r="A874" s="13"/>
      <c r="B874" s="9"/>
      <c r="C874" s="11"/>
      <c r="D874" s="11"/>
      <c r="E874" s="9"/>
      <c r="F874" s="10"/>
      <c r="G874" s="10"/>
      <c r="H874" s="10"/>
    </row>
    <row r="875" spans="1:8" ht="15.75" x14ac:dyDescent="0.25">
      <c r="A875" s="13"/>
      <c r="B875" s="9"/>
      <c r="C875" s="11"/>
      <c r="D875" s="11"/>
      <c r="E875" s="9"/>
      <c r="F875" s="10"/>
      <c r="G875" s="10"/>
      <c r="H875" s="10"/>
    </row>
    <row r="876" spans="1:8" ht="15.75" x14ac:dyDescent="0.25">
      <c r="A876" s="13"/>
      <c r="B876" s="9"/>
      <c r="C876" s="11"/>
      <c r="D876" s="11"/>
      <c r="E876" s="9"/>
      <c r="F876" s="10"/>
      <c r="G876" s="10"/>
      <c r="H876" s="10"/>
    </row>
    <row r="877" spans="1:8" ht="15.75" x14ac:dyDescent="0.25">
      <c r="A877" s="13"/>
      <c r="B877" s="9"/>
      <c r="C877" s="11"/>
      <c r="D877" s="11"/>
      <c r="E877" s="9"/>
      <c r="F877" s="10"/>
      <c r="G877" s="10"/>
      <c r="H877" s="10"/>
    </row>
    <row r="878" spans="1:8" ht="15.75" x14ac:dyDescent="0.25">
      <c r="A878" s="13"/>
      <c r="B878" s="9"/>
      <c r="C878" s="11"/>
      <c r="D878" s="11"/>
      <c r="E878" s="9"/>
      <c r="F878" s="10"/>
      <c r="G878" s="10"/>
      <c r="H878" s="10"/>
    </row>
    <row r="879" spans="1:8" ht="15.75" x14ac:dyDescent="0.25">
      <c r="A879" s="13"/>
      <c r="B879" s="9"/>
      <c r="C879" s="11"/>
      <c r="D879" s="11"/>
      <c r="E879" s="9"/>
      <c r="F879" s="10"/>
      <c r="G879" s="10"/>
      <c r="H879" s="10"/>
    </row>
    <row r="880" spans="1:8" ht="15.75" x14ac:dyDescent="0.25">
      <c r="A880" s="13"/>
      <c r="B880" s="9"/>
      <c r="C880" s="11"/>
      <c r="D880" s="11"/>
      <c r="E880" s="9"/>
      <c r="F880" s="10"/>
      <c r="G880" s="10"/>
      <c r="H880" s="10"/>
    </row>
    <row r="881" spans="1:8" ht="15.75" x14ac:dyDescent="0.25">
      <c r="A881" s="13"/>
      <c r="B881" s="9"/>
      <c r="C881" s="11"/>
      <c r="D881" s="11"/>
      <c r="E881" s="9"/>
      <c r="F881" s="10"/>
      <c r="G881" s="10"/>
      <c r="H881" s="10"/>
    </row>
    <row r="882" spans="1:8" ht="15.75" x14ac:dyDescent="0.25">
      <c r="A882" s="13"/>
      <c r="B882" s="9"/>
      <c r="C882" s="11"/>
      <c r="D882" s="11"/>
      <c r="E882" s="9"/>
      <c r="F882" s="10"/>
      <c r="G882" s="10"/>
      <c r="H882" s="10"/>
    </row>
    <row r="883" spans="1:8" ht="15.75" x14ac:dyDescent="0.25">
      <c r="A883" s="13"/>
      <c r="B883" s="9"/>
      <c r="C883" s="11"/>
      <c r="D883" s="11"/>
      <c r="E883" s="9"/>
      <c r="F883" s="10"/>
      <c r="G883" s="10"/>
      <c r="H883" s="10"/>
    </row>
    <row r="884" spans="1:8" ht="15.75" x14ac:dyDescent="0.25">
      <c r="A884" s="13"/>
      <c r="B884" s="9"/>
      <c r="C884" s="11"/>
      <c r="D884" s="11"/>
      <c r="E884" s="9"/>
      <c r="F884" s="10"/>
      <c r="G884" s="10"/>
      <c r="H884" s="10"/>
    </row>
    <row r="885" spans="1:8" ht="15.75" x14ac:dyDescent="0.25">
      <c r="A885" s="13"/>
      <c r="B885" s="9"/>
      <c r="C885" s="11"/>
      <c r="D885" s="11"/>
      <c r="E885" s="9"/>
      <c r="F885" s="10"/>
      <c r="G885" s="10"/>
      <c r="H885" s="10"/>
    </row>
    <row r="886" spans="1:8" ht="15.75" x14ac:dyDescent="0.25">
      <c r="A886" s="13"/>
      <c r="B886" s="9"/>
      <c r="C886" s="11"/>
      <c r="D886" s="11"/>
      <c r="E886" s="9"/>
      <c r="F886" s="10"/>
      <c r="G886" s="10"/>
      <c r="H886" s="10"/>
    </row>
    <row r="887" spans="1:8" ht="15.75" x14ac:dyDescent="0.25">
      <c r="A887" s="13"/>
      <c r="B887" s="9"/>
      <c r="C887" s="11"/>
      <c r="D887" s="11"/>
      <c r="E887" s="9"/>
      <c r="F887" s="10"/>
      <c r="G887" s="10"/>
      <c r="H887" s="10"/>
    </row>
    <row r="888" spans="1:8" ht="15.75" x14ac:dyDescent="0.25">
      <c r="A888" s="13"/>
      <c r="B888" s="9"/>
      <c r="C888" s="11"/>
      <c r="D888" s="11"/>
      <c r="E888" s="9"/>
      <c r="F888" s="10"/>
      <c r="G888" s="10"/>
      <c r="H888" s="10"/>
    </row>
    <row r="889" spans="1:8" ht="15.75" x14ac:dyDescent="0.25">
      <c r="A889" s="13"/>
      <c r="B889" s="9"/>
      <c r="C889" s="11"/>
      <c r="D889" s="11"/>
      <c r="E889" s="9"/>
      <c r="F889" s="10"/>
      <c r="G889" s="10"/>
      <c r="H889" s="10"/>
    </row>
    <row r="890" spans="1:8" ht="15.75" x14ac:dyDescent="0.25">
      <c r="A890" s="13"/>
      <c r="B890" s="9"/>
      <c r="C890" s="11"/>
      <c r="D890" s="11"/>
      <c r="E890" s="9"/>
      <c r="F890" s="10"/>
      <c r="G890" s="10"/>
      <c r="H890" s="10"/>
    </row>
    <row r="891" spans="1:8" ht="15.75" x14ac:dyDescent="0.25">
      <c r="A891" s="13"/>
      <c r="B891" s="9"/>
      <c r="C891" s="11"/>
      <c r="D891" s="11"/>
      <c r="E891" s="9"/>
      <c r="F891" s="10"/>
      <c r="G891" s="10"/>
      <c r="H891" s="10"/>
    </row>
    <row r="892" spans="1:8" ht="15.75" x14ac:dyDescent="0.25">
      <c r="A892" s="13"/>
      <c r="B892" s="9"/>
      <c r="C892" s="11"/>
      <c r="D892" s="11"/>
      <c r="E892" s="9"/>
      <c r="F892" s="10"/>
      <c r="G892" s="10"/>
      <c r="H892" s="10"/>
    </row>
    <row r="893" spans="1:8" ht="15.75" x14ac:dyDescent="0.25">
      <c r="A893" s="13"/>
      <c r="B893" s="9"/>
      <c r="C893" s="11"/>
      <c r="D893" s="11"/>
      <c r="E893" s="9"/>
      <c r="F893" s="10"/>
      <c r="G893" s="10"/>
      <c r="H893" s="10"/>
    </row>
    <row r="894" spans="1:8" ht="15.75" x14ac:dyDescent="0.25">
      <c r="A894" s="13"/>
      <c r="B894" s="9"/>
      <c r="C894" s="11"/>
      <c r="D894" s="11"/>
      <c r="E894" s="9"/>
      <c r="F894" s="10"/>
      <c r="G894" s="10"/>
      <c r="H894" s="10"/>
    </row>
    <row r="895" spans="1:8" ht="15.75" x14ac:dyDescent="0.25">
      <c r="A895" s="13"/>
      <c r="B895" s="9"/>
      <c r="C895" s="11"/>
      <c r="D895" s="11"/>
      <c r="E895" s="9"/>
      <c r="F895" s="10"/>
      <c r="G895" s="10"/>
      <c r="H895" s="10"/>
    </row>
    <row r="896" spans="1:8" ht="15.75" x14ac:dyDescent="0.25">
      <c r="A896" s="13"/>
      <c r="B896" s="9"/>
      <c r="C896" s="11"/>
      <c r="D896" s="11"/>
      <c r="E896" s="9"/>
      <c r="F896" s="10"/>
      <c r="G896" s="10"/>
      <c r="H896" s="10"/>
    </row>
    <row r="897" spans="1:8" ht="15.75" x14ac:dyDescent="0.25">
      <c r="A897" s="13"/>
      <c r="B897" s="9"/>
      <c r="C897" s="11"/>
      <c r="D897" s="11"/>
      <c r="E897" s="9"/>
      <c r="F897" s="10"/>
      <c r="G897" s="10"/>
      <c r="H897" s="10"/>
    </row>
    <row r="898" spans="1:8" ht="15.75" x14ac:dyDescent="0.25">
      <c r="A898" s="13"/>
      <c r="B898" s="9"/>
      <c r="C898" s="11"/>
      <c r="D898" s="11"/>
      <c r="E898" s="9"/>
      <c r="F898" s="10"/>
      <c r="G898" s="10"/>
      <c r="H898" s="10"/>
    </row>
    <row r="899" spans="1:8" ht="15.75" x14ac:dyDescent="0.25">
      <c r="A899" s="13"/>
      <c r="B899" s="9"/>
      <c r="C899" s="11"/>
      <c r="D899" s="11"/>
      <c r="E899" s="9"/>
      <c r="F899" s="10"/>
      <c r="G899" s="10"/>
      <c r="H899" s="10"/>
    </row>
    <row r="900" spans="1:8" ht="15.75" x14ac:dyDescent="0.25">
      <c r="A900" s="13"/>
      <c r="B900" s="9"/>
      <c r="C900" s="11"/>
      <c r="D900" s="11"/>
      <c r="E900" s="9"/>
      <c r="F900" s="10"/>
      <c r="G900" s="10"/>
      <c r="H900" s="10"/>
    </row>
    <row r="901" spans="1:8" ht="15.75" x14ac:dyDescent="0.25">
      <c r="A901" s="13"/>
      <c r="B901" s="9"/>
      <c r="C901" s="11"/>
      <c r="D901" s="11"/>
      <c r="E901" s="9"/>
      <c r="F901" s="10"/>
      <c r="G901" s="10"/>
      <c r="H901" s="10"/>
    </row>
    <row r="902" spans="1:8" ht="15.75" x14ac:dyDescent="0.25">
      <c r="A902" s="13"/>
      <c r="B902" s="9"/>
      <c r="C902" s="11"/>
      <c r="D902" s="11"/>
      <c r="E902" s="9"/>
      <c r="F902" s="10"/>
      <c r="G902" s="10"/>
      <c r="H902" s="10"/>
    </row>
    <row r="903" spans="1:8" ht="15.75" x14ac:dyDescent="0.25">
      <c r="A903" s="13"/>
      <c r="B903" s="9"/>
      <c r="C903" s="11"/>
      <c r="D903" s="11"/>
      <c r="E903" s="9"/>
      <c r="F903" s="10"/>
      <c r="G903" s="10"/>
      <c r="H903" s="10"/>
    </row>
    <row r="904" spans="1:8" ht="15.75" x14ac:dyDescent="0.25">
      <c r="A904" s="13"/>
      <c r="B904" s="9"/>
      <c r="C904" s="11"/>
      <c r="D904" s="11"/>
      <c r="E904" s="9"/>
      <c r="F904" s="10"/>
      <c r="G904" s="10"/>
      <c r="H904" s="10"/>
    </row>
    <row r="905" spans="1:8" ht="15.75" x14ac:dyDescent="0.25">
      <c r="A905" s="13"/>
      <c r="B905" s="9"/>
      <c r="C905" s="11"/>
      <c r="D905" s="11"/>
      <c r="E905" s="9"/>
      <c r="F905" s="10"/>
      <c r="G905" s="10"/>
      <c r="H905" s="10"/>
    </row>
    <row r="906" spans="1:8" ht="15.75" x14ac:dyDescent="0.25">
      <c r="A906" s="13"/>
      <c r="B906" s="9"/>
      <c r="C906" s="11"/>
      <c r="D906" s="11"/>
      <c r="E906" s="9"/>
      <c r="F906" s="10"/>
      <c r="G906" s="10"/>
      <c r="H906" s="10"/>
    </row>
    <row r="907" spans="1:8" ht="15.75" x14ac:dyDescent="0.25">
      <c r="A907" s="13"/>
      <c r="B907" s="9"/>
      <c r="C907" s="11"/>
      <c r="D907" s="11"/>
      <c r="E907" s="9"/>
      <c r="F907" s="10"/>
      <c r="G907" s="10"/>
      <c r="H907" s="10"/>
    </row>
    <row r="908" spans="1:8" ht="15.75" x14ac:dyDescent="0.25">
      <c r="A908" s="13"/>
      <c r="B908" s="9"/>
      <c r="C908" s="11"/>
      <c r="D908" s="11"/>
      <c r="E908" s="9"/>
      <c r="F908" s="10"/>
      <c r="G908" s="10"/>
      <c r="H908" s="10"/>
    </row>
    <row r="909" spans="1:8" ht="15.75" x14ac:dyDescent="0.25">
      <c r="A909" s="13"/>
      <c r="B909" s="9"/>
      <c r="C909" s="11"/>
      <c r="D909" s="11"/>
      <c r="E909" s="9"/>
      <c r="F909" s="10"/>
      <c r="G909" s="10"/>
      <c r="H909" s="10"/>
    </row>
    <row r="910" spans="1:8" ht="15.75" x14ac:dyDescent="0.25">
      <c r="A910" s="13"/>
      <c r="B910" s="9"/>
      <c r="C910" s="11"/>
      <c r="D910" s="11"/>
      <c r="E910" s="9"/>
      <c r="F910" s="10"/>
      <c r="G910" s="10"/>
      <c r="H910" s="10"/>
    </row>
    <row r="911" spans="1:8" ht="15.75" x14ac:dyDescent="0.25">
      <c r="A911" s="13"/>
      <c r="B911" s="9"/>
      <c r="C911" s="11"/>
      <c r="D911" s="11"/>
      <c r="E911" s="9"/>
      <c r="F911" s="10"/>
      <c r="G911" s="10"/>
      <c r="H911" s="10"/>
    </row>
    <row r="912" spans="1:8" ht="15.75" x14ac:dyDescent="0.25">
      <c r="A912" s="13"/>
      <c r="B912" s="9"/>
      <c r="C912" s="11"/>
      <c r="D912" s="11"/>
      <c r="E912" s="9"/>
      <c r="F912" s="10"/>
      <c r="G912" s="10"/>
      <c r="H912" s="10"/>
    </row>
    <row r="913" spans="1:8" ht="15.75" x14ac:dyDescent="0.25">
      <c r="A913" s="13"/>
      <c r="B913" s="9"/>
      <c r="C913" s="11"/>
      <c r="D913" s="11"/>
      <c r="E913" s="9"/>
      <c r="F913" s="10"/>
      <c r="G913" s="10"/>
      <c r="H913" s="10"/>
    </row>
    <row r="914" spans="1:8" ht="15.75" x14ac:dyDescent="0.25">
      <c r="A914" s="13"/>
      <c r="B914" s="9"/>
      <c r="C914" s="11"/>
      <c r="D914" s="11"/>
      <c r="E914" s="9"/>
      <c r="F914" s="10"/>
      <c r="G914" s="10"/>
      <c r="H914" s="10"/>
    </row>
    <row r="915" spans="1:8" ht="15.75" x14ac:dyDescent="0.25">
      <c r="A915" s="13"/>
      <c r="B915" s="9"/>
      <c r="C915" s="11"/>
      <c r="D915" s="11"/>
      <c r="E915" s="9"/>
      <c r="F915" s="10"/>
      <c r="G915" s="10"/>
      <c r="H915" s="10"/>
    </row>
    <row r="916" spans="1:8" ht="15.75" x14ac:dyDescent="0.25">
      <c r="A916" s="13"/>
      <c r="B916" s="9"/>
      <c r="C916" s="11"/>
      <c r="D916" s="11"/>
      <c r="E916" s="9"/>
      <c r="F916" s="10"/>
      <c r="G916" s="10"/>
      <c r="H916" s="10"/>
    </row>
    <row r="917" spans="1:8" ht="15.75" x14ac:dyDescent="0.25">
      <c r="A917" s="13"/>
      <c r="B917" s="9"/>
      <c r="C917" s="11"/>
      <c r="D917" s="11"/>
      <c r="E917" s="9"/>
      <c r="F917" s="10"/>
      <c r="G917" s="10"/>
      <c r="H917" s="10"/>
    </row>
    <row r="918" spans="1:8" ht="15.75" x14ac:dyDescent="0.25">
      <c r="A918" s="13"/>
      <c r="B918" s="9"/>
      <c r="C918" s="11"/>
      <c r="D918" s="11"/>
      <c r="E918" s="9"/>
      <c r="F918" s="10"/>
      <c r="G918" s="10"/>
      <c r="H918" s="10"/>
    </row>
    <row r="919" spans="1:8" ht="15.75" x14ac:dyDescent="0.25">
      <c r="A919" s="13"/>
      <c r="B919" s="9"/>
      <c r="C919" s="11"/>
      <c r="D919" s="11"/>
      <c r="E919" s="9"/>
      <c r="F919" s="10"/>
      <c r="G919" s="10"/>
      <c r="H919" s="10"/>
    </row>
    <row r="920" spans="1:8" ht="15.75" x14ac:dyDescent="0.25">
      <c r="A920" s="13"/>
      <c r="B920" s="9"/>
      <c r="C920" s="11"/>
      <c r="D920" s="11"/>
      <c r="E920" s="9"/>
      <c r="F920" s="10"/>
      <c r="G920" s="10"/>
      <c r="H920" s="10"/>
    </row>
    <row r="921" spans="1:8" ht="15.75" x14ac:dyDescent="0.25">
      <c r="A921" s="13"/>
      <c r="B921" s="9"/>
      <c r="C921" s="11"/>
      <c r="D921" s="11"/>
      <c r="E921" s="9"/>
      <c r="F921" s="10"/>
      <c r="G921" s="10"/>
      <c r="H921" s="10"/>
    </row>
    <row r="922" spans="1:8" ht="15.75" x14ac:dyDescent="0.25">
      <c r="A922" s="13"/>
      <c r="B922" s="9"/>
      <c r="C922" s="11"/>
      <c r="D922" s="11"/>
      <c r="E922" s="9"/>
      <c r="F922" s="10"/>
      <c r="G922" s="10"/>
      <c r="H922" s="10"/>
    </row>
    <row r="923" spans="1:8" ht="15.75" x14ac:dyDescent="0.25">
      <c r="A923" s="13"/>
      <c r="B923" s="9"/>
      <c r="C923" s="11"/>
      <c r="D923" s="11"/>
      <c r="E923" s="9"/>
      <c r="F923" s="10"/>
      <c r="G923" s="10"/>
      <c r="H923" s="10"/>
    </row>
    <row r="924" spans="1:8" ht="15.75" x14ac:dyDescent="0.25">
      <c r="A924" s="13"/>
      <c r="B924" s="9"/>
      <c r="C924" s="11"/>
      <c r="D924" s="11"/>
      <c r="E924" s="9"/>
      <c r="F924" s="10"/>
      <c r="G924" s="10"/>
      <c r="H924" s="10"/>
    </row>
    <row r="925" spans="1:8" ht="15.75" x14ac:dyDescent="0.25">
      <c r="A925" s="13"/>
      <c r="B925" s="9"/>
      <c r="C925" s="11"/>
      <c r="D925" s="11"/>
      <c r="E925" s="9"/>
      <c r="F925" s="10"/>
      <c r="G925" s="10"/>
      <c r="H925" s="10"/>
    </row>
    <row r="926" spans="1:8" ht="15.75" x14ac:dyDescent="0.25">
      <c r="A926" s="13"/>
      <c r="B926" s="9"/>
      <c r="C926" s="11"/>
      <c r="D926" s="11"/>
      <c r="E926" s="9"/>
      <c r="F926" s="10"/>
      <c r="G926" s="10"/>
      <c r="H926" s="10"/>
    </row>
    <row r="927" spans="1:8" ht="15.75" x14ac:dyDescent="0.25">
      <c r="A927" s="13"/>
      <c r="B927" s="9"/>
      <c r="C927" s="11"/>
      <c r="D927" s="11"/>
      <c r="E927" s="9"/>
      <c r="F927" s="10"/>
      <c r="G927" s="10"/>
      <c r="H927" s="10"/>
    </row>
    <row r="928" spans="1:8" ht="15.75" x14ac:dyDescent="0.25">
      <c r="A928" s="13"/>
      <c r="B928" s="9"/>
      <c r="C928" s="11"/>
      <c r="D928" s="11"/>
      <c r="E928" s="9"/>
      <c r="F928" s="10"/>
      <c r="G928" s="10"/>
      <c r="H928" s="10"/>
    </row>
    <row r="929" spans="1:8" ht="15.75" x14ac:dyDescent="0.25">
      <c r="A929" s="13"/>
      <c r="B929" s="9"/>
      <c r="C929" s="11"/>
      <c r="D929" s="11"/>
      <c r="E929" s="9"/>
      <c r="F929" s="10"/>
      <c r="G929" s="10"/>
      <c r="H929" s="10"/>
    </row>
    <row r="930" spans="1:8" ht="15.75" x14ac:dyDescent="0.25">
      <c r="A930" s="13"/>
      <c r="B930" s="9"/>
      <c r="C930" s="11"/>
      <c r="D930" s="11"/>
      <c r="E930" s="9"/>
      <c r="F930" s="10"/>
      <c r="G930" s="10"/>
      <c r="H930" s="10"/>
    </row>
    <row r="931" spans="1:8" ht="15.75" x14ac:dyDescent="0.25">
      <c r="A931" s="13"/>
      <c r="B931" s="9"/>
      <c r="C931" s="11"/>
      <c r="D931" s="11"/>
      <c r="E931" s="9"/>
      <c r="F931" s="10"/>
      <c r="G931" s="10"/>
      <c r="H931" s="10"/>
    </row>
    <row r="932" spans="1:8" ht="15.75" x14ac:dyDescent="0.25">
      <c r="A932" s="13"/>
      <c r="B932" s="9"/>
      <c r="C932" s="11"/>
      <c r="D932" s="11"/>
      <c r="E932" s="9"/>
      <c r="F932" s="10"/>
      <c r="G932" s="10"/>
      <c r="H932" s="10"/>
    </row>
    <row r="933" spans="1:8" ht="15.75" x14ac:dyDescent="0.25">
      <c r="A933" s="13"/>
      <c r="B933" s="9"/>
      <c r="C933" s="11"/>
      <c r="D933" s="11"/>
      <c r="E933" s="9"/>
      <c r="F933" s="10"/>
      <c r="G933" s="10"/>
      <c r="H933" s="10"/>
    </row>
    <row r="934" spans="1:8" ht="15.75" x14ac:dyDescent="0.25">
      <c r="A934" s="13"/>
      <c r="B934" s="9"/>
      <c r="C934" s="11"/>
      <c r="D934" s="11"/>
      <c r="E934" s="9"/>
      <c r="F934" s="10"/>
      <c r="G934" s="10"/>
      <c r="H934" s="10"/>
    </row>
    <row r="935" spans="1:8" ht="15.75" x14ac:dyDescent="0.25">
      <c r="A935" s="13"/>
      <c r="B935" s="9"/>
      <c r="C935" s="11"/>
      <c r="D935" s="11"/>
      <c r="E935" s="9"/>
      <c r="F935" s="10"/>
      <c r="G935" s="10"/>
      <c r="H935" s="10"/>
    </row>
    <row r="936" spans="1:8" ht="15.75" x14ac:dyDescent="0.25">
      <c r="A936" s="13"/>
      <c r="B936" s="9"/>
      <c r="C936" s="11"/>
      <c r="D936" s="11"/>
      <c r="E936" s="9"/>
      <c r="F936" s="10"/>
      <c r="G936" s="10"/>
      <c r="H936" s="10"/>
    </row>
    <row r="937" spans="1:8" ht="15.75" x14ac:dyDescent="0.25">
      <c r="A937" s="13"/>
      <c r="B937" s="9"/>
      <c r="C937" s="11"/>
      <c r="D937" s="11"/>
      <c r="E937" s="9"/>
      <c r="F937" s="10"/>
      <c r="G937" s="10"/>
      <c r="H937" s="10"/>
    </row>
    <row r="938" spans="1:8" ht="15.75" x14ac:dyDescent="0.25">
      <c r="A938" s="13"/>
      <c r="B938" s="9"/>
      <c r="C938" s="11"/>
      <c r="D938" s="11"/>
      <c r="E938" s="9"/>
      <c r="F938" s="10"/>
      <c r="G938" s="10"/>
      <c r="H938" s="10"/>
    </row>
    <row r="939" spans="1:8" ht="15.75" x14ac:dyDescent="0.25">
      <c r="A939" s="13"/>
      <c r="B939" s="9"/>
      <c r="C939" s="11"/>
      <c r="D939" s="11"/>
      <c r="E939" s="9"/>
      <c r="F939" s="10"/>
      <c r="G939" s="10"/>
      <c r="H939" s="10"/>
    </row>
    <row r="940" spans="1:8" ht="15.75" x14ac:dyDescent="0.25">
      <c r="A940" s="13"/>
      <c r="B940" s="9"/>
      <c r="C940" s="11"/>
      <c r="D940" s="11"/>
      <c r="E940" s="9"/>
      <c r="F940" s="10"/>
      <c r="G940" s="10"/>
      <c r="H940" s="10"/>
    </row>
    <row r="941" spans="1:8" ht="15.75" x14ac:dyDescent="0.25">
      <c r="A941" s="13"/>
      <c r="B941" s="9"/>
      <c r="C941" s="11"/>
      <c r="D941" s="11"/>
      <c r="E941" s="9"/>
      <c r="F941" s="10"/>
      <c r="G941" s="10"/>
      <c r="H941" s="10"/>
    </row>
    <row r="942" spans="1:8" ht="15.75" x14ac:dyDescent="0.25">
      <c r="A942" s="13"/>
      <c r="B942" s="9"/>
      <c r="C942" s="11"/>
      <c r="D942" s="11"/>
      <c r="E942" s="9"/>
      <c r="F942" s="10"/>
      <c r="G942" s="10"/>
      <c r="H942" s="10"/>
    </row>
    <row r="943" spans="1:8" ht="15.75" x14ac:dyDescent="0.25">
      <c r="A943" s="13"/>
      <c r="B943" s="9"/>
      <c r="C943" s="11"/>
      <c r="D943" s="11"/>
      <c r="E943" s="9"/>
      <c r="F943" s="10"/>
      <c r="G943" s="10"/>
      <c r="H943" s="10"/>
    </row>
    <row r="944" spans="1:8" ht="15.75" x14ac:dyDescent="0.25">
      <c r="A944" s="13"/>
      <c r="B944" s="9"/>
      <c r="C944" s="11"/>
      <c r="D944" s="11"/>
      <c r="E944" s="9"/>
      <c r="F944" s="10"/>
      <c r="G944" s="10"/>
      <c r="H944" s="10"/>
    </row>
    <row r="945" spans="1:8" ht="15.75" x14ac:dyDescent="0.25">
      <c r="A945" s="13"/>
      <c r="B945" s="9"/>
      <c r="C945" s="11"/>
      <c r="D945" s="11"/>
      <c r="E945" s="9"/>
      <c r="F945" s="10"/>
      <c r="G945" s="10"/>
      <c r="H945" s="10"/>
    </row>
    <row r="946" spans="1:8" ht="15.75" x14ac:dyDescent="0.25">
      <c r="A946" s="13"/>
      <c r="B946" s="9"/>
      <c r="C946" s="11"/>
      <c r="D946" s="11"/>
      <c r="E946" s="9"/>
      <c r="F946" s="10"/>
      <c r="G946" s="10"/>
      <c r="H946" s="10"/>
    </row>
    <row r="947" spans="1:8" ht="15.75" x14ac:dyDescent="0.25">
      <c r="A947" s="13"/>
      <c r="B947" s="9"/>
      <c r="C947" s="11"/>
      <c r="D947" s="11"/>
      <c r="E947" s="9"/>
      <c r="F947" s="10"/>
      <c r="G947" s="10"/>
      <c r="H947" s="10"/>
    </row>
    <row r="948" spans="1:8" ht="15.75" x14ac:dyDescent="0.25">
      <c r="A948" s="13"/>
      <c r="B948" s="9"/>
      <c r="C948" s="11"/>
      <c r="D948" s="11"/>
      <c r="E948" s="9"/>
      <c r="F948" s="10"/>
      <c r="G948" s="10"/>
      <c r="H948" s="10"/>
    </row>
    <row r="949" spans="1:8" ht="15.75" x14ac:dyDescent="0.25">
      <c r="A949" s="13"/>
      <c r="B949" s="9"/>
      <c r="C949" s="11"/>
      <c r="D949" s="11"/>
      <c r="E949" s="9"/>
      <c r="F949" s="10"/>
      <c r="G949" s="10"/>
      <c r="H949" s="10"/>
    </row>
    <row r="950" spans="1:8" ht="15.75" x14ac:dyDescent="0.25">
      <c r="A950" s="13"/>
      <c r="B950" s="9"/>
      <c r="C950" s="11"/>
      <c r="D950" s="11"/>
      <c r="E950" s="9"/>
      <c r="F950" s="10"/>
      <c r="G950" s="10"/>
      <c r="H950" s="10"/>
    </row>
    <row r="951" spans="1:8" ht="15.75" x14ac:dyDescent="0.25">
      <c r="A951" s="13"/>
      <c r="B951" s="9"/>
      <c r="C951" s="11"/>
      <c r="D951" s="11"/>
      <c r="E951" s="9"/>
      <c r="F951" s="10"/>
      <c r="G951" s="10"/>
      <c r="H951" s="10"/>
    </row>
    <row r="952" spans="1:8" ht="15.75" x14ac:dyDescent="0.25">
      <c r="A952" s="13"/>
      <c r="B952" s="9"/>
      <c r="C952" s="11"/>
      <c r="D952" s="11"/>
      <c r="E952" s="9"/>
      <c r="F952" s="10"/>
      <c r="G952" s="10"/>
      <c r="H952" s="10"/>
    </row>
    <row r="953" spans="1:8" ht="15.75" x14ac:dyDescent="0.25">
      <c r="A953" s="13"/>
      <c r="B953" s="9"/>
      <c r="C953" s="11"/>
      <c r="D953" s="11"/>
      <c r="E953" s="9"/>
      <c r="F953" s="10"/>
      <c r="G953" s="10"/>
      <c r="H953" s="10"/>
    </row>
    <row r="954" spans="1:8" ht="15.75" x14ac:dyDescent="0.25">
      <c r="A954" s="13"/>
      <c r="B954" s="9"/>
      <c r="C954" s="11"/>
      <c r="D954" s="11"/>
      <c r="E954" s="9"/>
      <c r="F954" s="10"/>
      <c r="G954" s="10"/>
      <c r="H954" s="10"/>
    </row>
    <row r="955" spans="1:8" ht="15.75" x14ac:dyDescent="0.25">
      <c r="A955" s="13"/>
      <c r="B955" s="9"/>
      <c r="C955" s="11"/>
      <c r="D955" s="11"/>
      <c r="E955" s="9"/>
      <c r="F955" s="10"/>
      <c r="G955" s="10"/>
      <c r="H955" s="10"/>
    </row>
    <row r="956" spans="1:8" ht="15.75" x14ac:dyDescent="0.25">
      <c r="A956" s="13"/>
      <c r="B956" s="9"/>
      <c r="C956" s="11"/>
      <c r="D956" s="11"/>
      <c r="E956" s="9"/>
      <c r="F956" s="10"/>
      <c r="G956" s="10"/>
      <c r="H956" s="10"/>
    </row>
    <row r="957" spans="1:8" ht="15.75" x14ac:dyDescent="0.25">
      <c r="A957" s="13"/>
      <c r="B957" s="9"/>
      <c r="C957" s="11"/>
      <c r="D957" s="11"/>
      <c r="E957" s="9"/>
      <c r="F957" s="10"/>
      <c r="G957" s="10"/>
      <c r="H957" s="10"/>
    </row>
    <row r="958" spans="1:8" ht="15.75" x14ac:dyDescent="0.25">
      <c r="A958" s="13"/>
      <c r="B958" s="9"/>
      <c r="C958" s="11"/>
      <c r="D958" s="11"/>
      <c r="E958" s="9"/>
      <c r="F958" s="10"/>
      <c r="G958" s="10"/>
      <c r="H958" s="10"/>
    </row>
    <row r="959" spans="1:8" ht="15.75" x14ac:dyDescent="0.25">
      <c r="A959" s="13"/>
      <c r="B959" s="9"/>
      <c r="C959" s="11"/>
      <c r="D959" s="11"/>
      <c r="E959" s="9"/>
      <c r="F959" s="10"/>
      <c r="G959" s="10"/>
      <c r="H959" s="10"/>
    </row>
    <row r="960" spans="1:8" ht="15.75" x14ac:dyDescent="0.25">
      <c r="A960" s="13"/>
      <c r="B960" s="9"/>
      <c r="C960" s="11"/>
      <c r="D960" s="11"/>
      <c r="E960" s="9"/>
      <c r="F960" s="10"/>
      <c r="G960" s="10"/>
      <c r="H960" s="10"/>
    </row>
    <row r="961" spans="1:8" ht="15.75" x14ac:dyDescent="0.25">
      <c r="A961" s="13"/>
      <c r="B961" s="9"/>
      <c r="C961" s="11"/>
      <c r="D961" s="11"/>
      <c r="E961" s="9"/>
      <c r="F961" s="10"/>
      <c r="G961" s="10"/>
      <c r="H961" s="10"/>
    </row>
    <row r="962" spans="1:8" ht="15.75" x14ac:dyDescent="0.25">
      <c r="A962" s="13"/>
      <c r="B962" s="9"/>
      <c r="C962" s="11"/>
      <c r="D962" s="11"/>
      <c r="E962" s="9"/>
      <c r="F962" s="10"/>
      <c r="G962" s="10"/>
      <c r="H962" s="10"/>
    </row>
    <row r="963" spans="1:8" ht="15.75" x14ac:dyDescent="0.25">
      <c r="A963" s="13"/>
      <c r="B963" s="9"/>
      <c r="C963" s="11"/>
      <c r="D963" s="11"/>
      <c r="E963" s="9"/>
      <c r="F963" s="10"/>
      <c r="G963" s="10"/>
      <c r="H963" s="10"/>
    </row>
    <row r="964" spans="1:8" ht="15.75" x14ac:dyDescent="0.25">
      <c r="A964" s="13"/>
      <c r="B964" s="9"/>
      <c r="C964" s="11"/>
      <c r="D964" s="11"/>
      <c r="E964" s="9"/>
      <c r="F964" s="10"/>
      <c r="G964" s="10"/>
      <c r="H964" s="10"/>
    </row>
    <row r="965" spans="1:8" ht="15.75" x14ac:dyDescent="0.25">
      <c r="A965" s="13"/>
      <c r="B965" s="9"/>
      <c r="C965" s="11"/>
      <c r="D965" s="11"/>
      <c r="E965" s="9"/>
      <c r="F965" s="10"/>
      <c r="G965" s="10"/>
      <c r="H965" s="10"/>
    </row>
    <row r="966" spans="1:8" ht="15.75" x14ac:dyDescent="0.25">
      <c r="A966" s="13"/>
      <c r="B966" s="9"/>
      <c r="C966" s="11"/>
      <c r="D966" s="11"/>
      <c r="E966" s="9"/>
      <c r="F966" s="10"/>
      <c r="G966" s="10"/>
      <c r="H966" s="10"/>
    </row>
    <row r="967" spans="1:8" ht="15.75" x14ac:dyDescent="0.25">
      <c r="A967" s="13"/>
      <c r="B967" s="9"/>
      <c r="C967" s="11"/>
      <c r="D967" s="11"/>
      <c r="E967" s="9"/>
      <c r="F967" s="10"/>
      <c r="G967" s="10"/>
      <c r="H967" s="10"/>
    </row>
    <row r="968" spans="1:8" ht="15.75" x14ac:dyDescent="0.25">
      <c r="A968" s="13"/>
      <c r="B968" s="9"/>
      <c r="C968" s="11"/>
      <c r="D968" s="11"/>
      <c r="E968" s="9"/>
      <c r="F968" s="10"/>
      <c r="G968" s="10"/>
      <c r="H968" s="10"/>
    </row>
    <row r="969" spans="1:8" ht="15.75" x14ac:dyDescent="0.25">
      <c r="A969" s="13"/>
      <c r="B969" s="9"/>
      <c r="C969" s="11"/>
      <c r="D969" s="11"/>
      <c r="E969" s="9"/>
      <c r="F969" s="10"/>
      <c r="G969" s="10"/>
      <c r="H969" s="10"/>
    </row>
    <row r="970" spans="1:8" ht="15.75" x14ac:dyDescent="0.25">
      <c r="A970" s="13"/>
      <c r="B970" s="9"/>
      <c r="C970" s="11"/>
      <c r="D970" s="11"/>
      <c r="E970" s="9"/>
      <c r="F970" s="10"/>
      <c r="G970" s="10"/>
      <c r="H970" s="10"/>
    </row>
    <row r="971" spans="1:8" ht="15.75" x14ac:dyDescent="0.25">
      <c r="A971" s="13"/>
      <c r="B971" s="9"/>
      <c r="C971" s="11"/>
      <c r="D971" s="11"/>
      <c r="E971" s="9"/>
      <c r="F971" s="10"/>
      <c r="G971" s="10"/>
      <c r="H971" s="10"/>
    </row>
    <row r="972" spans="1:8" ht="15.75" x14ac:dyDescent="0.25">
      <c r="A972" s="13"/>
      <c r="B972" s="9"/>
      <c r="C972" s="11"/>
      <c r="D972" s="11"/>
      <c r="E972" s="9"/>
      <c r="F972" s="10"/>
      <c r="G972" s="10"/>
      <c r="H972" s="10"/>
    </row>
    <row r="973" spans="1:8" ht="15.75" x14ac:dyDescent="0.25">
      <c r="A973" s="13"/>
      <c r="B973" s="9"/>
      <c r="C973" s="11"/>
      <c r="D973" s="11"/>
      <c r="E973" s="9"/>
      <c r="F973" s="10"/>
      <c r="G973" s="10"/>
      <c r="H973" s="10"/>
    </row>
    <row r="974" spans="1:8" ht="15.75" x14ac:dyDescent="0.25">
      <c r="A974" s="13"/>
      <c r="B974" s="9"/>
      <c r="C974" s="11"/>
      <c r="D974" s="11"/>
      <c r="E974" s="9"/>
      <c r="F974" s="10"/>
      <c r="G974" s="10"/>
      <c r="H974" s="10"/>
    </row>
    <row r="975" spans="1:8" ht="15.75" x14ac:dyDescent="0.25">
      <c r="A975" s="13"/>
      <c r="B975" s="9"/>
      <c r="C975" s="11"/>
      <c r="D975" s="11"/>
      <c r="E975" s="9"/>
      <c r="F975" s="10"/>
      <c r="G975" s="10"/>
      <c r="H975" s="10"/>
    </row>
    <row r="976" spans="1:8" ht="15.75" x14ac:dyDescent="0.25">
      <c r="A976" s="13"/>
      <c r="B976" s="9"/>
      <c r="C976" s="11"/>
      <c r="D976" s="11"/>
      <c r="E976" s="9"/>
      <c r="F976" s="10"/>
      <c r="G976" s="10"/>
      <c r="H976" s="10"/>
    </row>
    <row r="977" spans="1:8" ht="15.75" x14ac:dyDescent="0.25">
      <c r="A977" s="13"/>
      <c r="B977" s="9"/>
      <c r="C977" s="11"/>
      <c r="D977" s="11"/>
      <c r="E977" s="9"/>
      <c r="F977" s="10"/>
      <c r="G977" s="10"/>
      <c r="H977" s="10"/>
    </row>
    <row r="978" spans="1:8" ht="15.75" x14ac:dyDescent="0.25">
      <c r="A978" s="13"/>
      <c r="B978" s="9"/>
      <c r="C978" s="11"/>
      <c r="D978" s="11"/>
      <c r="E978" s="9"/>
      <c r="F978" s="10"/>
      <c r="G978" s="10"/>
      <c r="H978" s="10"/>
    </row>
    <row r="979" spans="1:8" ht="15.75" x14ac:dyDescent="0.25">
      <c r="A979" s="13"/>
      <c r="B979" s="9"/>
      <c r="C979" s="11"/>
      <c r="D979" s="11"/>
      <c r="E979" s="9"/>
      <c r="F979" s="10"/>
      <c r="G979" s="10"/>
      <c r="H979" s="10"/>
    </row>
    <row r="980" spans="1:8" ht="15.75" x14ac:dyDescent="0.25">
      <c r="A980" s="13"/>
      <c r="B980" s="9"/>
      <c r="C980" s="11"/>
      <c r="D980" s="11"/>
      <c r="E980" s="9"/>
      <c r="F980" s="10"/>
      <c r="G980" s="10"/>
      <c r="H980" s="10"/>
    </row>
    <row r="981" spans="1:8" ht="15.75" x14ac:dyDescent="0.25">
      <c r="A981" s="13"/>
      <c r="B981" s="9"/>
      <c r="C981" s="11"/>
      <c r="D981" s="11"/>
      <c r="E981" s="9"/>
      <c r="F981" s="10"/>
      <c r="G981" s="10"/>
      <c r="H981" s="10"/>
    </row>
    <row r="982" spans="1:8" ht="15.75" x14ac:dyDescent="0.25">
      <c r="A982" s="13"/>
      <c r="B982" s="9"/>
      <c r="C982" s="11"/>
      <c r="D982" s="11"/>
      <c r="E982" s="9"/>
      <c r="F982" s="10"/>
      <c r="G982" s="10"/>
      <c r="H982" s="10"/>
    </row>
    <row r="983" spans="1:8" ht="15.75" x14ac:dyDescent="0.25">
      <c r="A983" s="13"/>
      <c r="B983" s="9"/>
      <c r="C983" s="11"/>
      <c r="D983" s="11"/>
      <c r="E983" s="9"/>
      <c r="F983" s="10"/>
      <c r="G983" s="10"/>
      <c r="H983" s="10"/>
    </row>
    <row r="984" spans="1:8" ht="15.75" x14ac:dyDescent="0.25">
      <c r="A984" s="13"/>
      <c r="B984" s="9"/>
      <c r="C984" s="11"/>
      <c r="D984" s="11"/>
      <c r="E984" s="9"/>
      <c r="F984" s="10"/>
      <c r="G984" s="10"/>
      <c r="H984" s="10"/>
    </row>
    <row r="985" spans="1:8" ht="15.75" x14ac:dyDescent="0.25">
      <c r="A985" s="13"/>
      <c r="B985" s="9"/>
      <c r="C985" s="11"/>
      <c r="D985" s="11"/>
      <c r="E985" s="9"/>
      <c r="F985" s="10"/>
      <c r="G985" s="10"/>
      <c r="H985" s="10"/>
    </row>
    <row r="986" spans="1:8" ht="15.75" x14ac:dyDescent="0.25">
      <c r="A986" s="13"/>
      <c r="B986" s="9"/>
      <c r="C986" s="11"/>
      <c r="D986" s="11"/>
      <c r="E986" s="9"/>
      <c r="F986" s="10"/>
      <c r="G986" s="10"/>
      <c r="H986" s="10"/>
    </row>
    <row r="987" spans="1:8" ht="15.75" x14ac:dyDescent="0.25">
      <c r="A987" s="13"/>
      <c r="B987" s="9"/>
      <c r="C987" s="11"/>
      <c r="D987" s="11"/>
      <c r="E987" s="9"/>
      <c r="F987" s="10"/>
      <c r="G987" s="10"/>
      <c r="H987" s="10"/>
    </row>
    <row r="988" spans="1:8" ht="15.75" x14ac:dyDescent="0.25">
      <c r="A988" s="13"/>
      <c r="B988" s="9"/>
      <c r="C988" s="11"/>
      <c r="D988" s="11"/>
      <c r="E988" s="9"/>
      <c r="F988" s="10"/>
      <c r="G988" s="10"/>
      <c r="H988" s="10"/>
    </row>
    <row r="989" spans="1:8" ht="15.75" x14ac:dyDescent="0.25">
      <c r="A989" s="13"/>
      <c r="B989" s="9"/>
      <c r="C989" s="11"/>
      <c r="D989" s="11"/>
      <c r="E989" s="9"/>
      <c r="F989" s="10"/>
      <c r="G989" s="10"/>
      <c r="H989" s="10"/>
    </row>
    <row r="990" spans="1:8" ht="15.75" x14ac:dyDescent="0.25">
      <c r="A990" s="13"/>
      <c r="B990" s="9"/>
      <c r="C990" s="11"/>
      <c r="D990" s="11"/>
      <c r="E990" s="9"/>
      <c r="F990" s="10"/>
      <c r="G990" s="10"/>
      <c r="H990" s="10"/>
    </row>
    <row r="991" spans="1:8" ht="15.75" x14ac:dyDescent="0.25">
      <c r="A991" s="13"/>
      <c r="B991" s="9"/>
      <c r="C991" s="11"/>
      <c r="D991" s="11"/>
      <c r="E991" s="9"/>
      <c r="F991" s="10"/>
      <c r="G991" s="10"/>
      <c r="H991" s="10"/>
    </row>
    <row r="992" spans="1:8" ht="15.75" x14ac:dyDescent="0.25">
      <c r="A992" s="13"/>
      <c r="B992" s="9"/>
      <c r="C992" s="11"/>
      <c r="D992" s="11"/>
      <c r="E992" s="9"/>
      <c r="F992" s="10"/>
      <c r="G992" s="10"/>
      <c r="H992" s="10"/>
    </row>
    <row r="993" spans="1:8" ht="15.75" x14ac:dyDescent="0.25">
      <c r="A993" s="13"/>
      <c r="B993" s="9"/>
      <c r="C993" s="11"/>
      <c r="D993" s="11"/>
      <c r="E993" s="9"/>
      <c r="F993" s="10"/>
      <c r="G993" s="10"/>
      <c r="H993" s="10"/>
    </row>
    <row r="994" spans="1:8" ht="15.75" x14ac:dyDescent="0.25">
      <c r="A994" s="13"/>
      <c r="B994" s="9"/>
      <c r="C994" s="11"/>
      <c r="D994" s="11"/>
      <c r="E994" s="9"/>
      <c r="F994" s="10"/>
      <c r="G994" s="10"/>
      <c r="H994" s="10"/>
    </row>
    <row r="995" spans="1:8" ht="15.75" x14ac:dyDescent="0.25">
      <c r="A995" s="13"/>
      <c r="B995" s="9"/>
      <c r="C995" s="11"/>
      <c r="D995" s="11"/>
      <c r="E995" s="9"/>
      <c r="F995" s="10"/>
      <c r="G995" s="10"/>
      <c r="H995" s="10"/>
    </row>
    <row r="996" spans="1:8" ht="15.75" x14ac:dyDescent="0.25">
      <c r="A996" s="13"/>
      <c r="B996" s="9"/>
      <c r="C996" s="11"/>
      <c r="D996" s="11"/>
      <c r="E996" s="9"/>
      <c r="F996" s="10"/>
      <c r="G996" s="10"/>
      <c r="H996" s="10"/>
    </row>
    <row r="997" spans="1:8" ht="15.75" x14ac:dyDescent="0.25">
      <c r="A997" s="13"/>
      <c r="B997" s="9"/>
      <c r="C997" s="11"/>
      <c r="D997" s="11"/>
      <c r="E997" s="9"/>
      <c r="F997" s="10"/>
      <c r="G997" s="10"/>
      <c r="H997" s="10"/>
    </row>
    <row r="998" spans="1:8" ht="15.75" x14ac:dyDescent="0.25">
      <c r="A998" s="13"/>
      <c r="B998" s="9"/>
      <c r="C998" s="11"/>
      <c r="D998" s="11"/>
      <c r="E998" s="9"/>
      <c r="F998" s="10"/>
      <c r="G998" s="10"/>
      <c r="H998" s="10"/>
    </row>
    <row r="999" spans="1:8" ht="15.75" x14ac:dyDescent="0.25">
      <c r="A999" s="13"/>
      <c r="B999" s="9"/>
      <c r="C999" s="11"/>
      <c r="D999" s="11"/>
      <c r="E999" s="9"/>
      <c r="F999" s="10"/>
      <c r="G999" s="10"/>
      <c r="H999" s="10"/>
    </row>
    <row r="1000" spans="1:8" ht="15.75" x14ac:dyDescent="0.25">
      <c r="A1000" s="13"/>
      <c r="B1000" s="9"/>
      <c r="C1000" s="11"/>
      <c r="D1000" s="11"/>
      <c r="E1000" s="9"/>
      <c r="F1000" s="10"/>
      <c r="G1000" s="10"/>
      <c r="H1000" s="10"/>
    </row>
  </sheetData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'categories_cash book'!$A$2:$A$15</xm:f>
          </x14:formula1>
          <xm:sqref>E2:E1000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F8E1-85D7-4B5F-9450-DBB92A9F3BFA}">
  <dimension ref="A1:C15"/>
  <sheetViews>
    <sheetView workbookViewId="0">
      <selection activeCell="E45" sqref="E45"/>
    </sheetView>
  </sheetViews>
  <sheetFormatPr defaultRowHeight="15" x14ac:dyDescent="0.25"/>
  <cols>
    <col min="1" max="1" width="22.28515625" bestFit="1" customWidth="1"/>
    <col min="2" max="2" width="14.28515625" bestFit="1" customWidth="1"/>
    <col min="3" max="3" width="16" bestFit="1" customWidth="1"/>
  </cols>
  <sheetData>
    <row r="1" spans="1:3" x14ac:dyDescent="0.25">
      <c r="A1" s="15" t="s">
        <v>29</v>
      </c>
      <c r="B1" s="14" t="s">
        <v>44</v>
      </c>
    </row>
    <row r="3" spans="1:3" x14ac:dyDescent="0.25">
      <c r="A3" s="40" t="s">
        <v>47</v>
      </c>
      <c r="B3" s="38" t="s">
        <v>46</v>
      </c>
      <c r="C3" s="39" t="s">
        <v>45</v>
      </c>
    </row>
    <row r="4" spans="1:3" x14ac:dyDescent="0.25">
      <c r="A4" s="41" t="s">
        <v>36</v>
      </c>
      <c r="B4" s="44"/>
      <c r="C4" s="45">
        <v>1200</v>
      </c>
    </row>
    <row r="5" spans="1:3" x14ac:dyDescent="0.25">
      <c r="A5" s="42" t="s">
        <v>39</v>
      </c>
      <c r="B5" s="46"/>
      <c r="C5" s="47">
        <v>740</v>
      </c>
    </row>
    <row r="6" spans="1:3" x14ac:dyDescent="0.25">
      <c r="A6" s="42" t="s">
        <v>11</v>
      </c>
      <c r="B6" s="46"/>
      <c r="C6" s="47">
        <v>60</v>
      </c>
    </row>
    <row r="7" spans="1:3" x14ac:dyDescent="0.25">
      <c r="A7" s="42" t="s">
        <v>41</v>
      </c>
      <c r="B7" s="46"/>
      <c r="C7" s="47">
        <v>45</v>
      </c>
    </row>
    <row r="8" spans="1:3" x14ac:dyDescent="0.25">
      <c r="A8" s="42" t="s">
        <v>15</v>
      </c>
      <c r="B8" s="46"/>
      <c r="C8" s="47">
        <v>115</v>
      </c>
    </row>
    <row r="9" spans="1:3" x14ac:dyDescent="0.25">
      <c r="A9" s="42" t="s">
        <v>42</v>
      </c>
      <c r="B9" s="46"/>
      <c r="C9" s="47">
        <v>80</v>
      </c>
    </row>
    <row r="10" spans="1:3" x14ac:dyDescent="0.25">
      <c r="A10" s="42" t="s">
        <v>35</v>
      </c>
      <c r="B10" s="46"/>
      <c r="C10" s="47"/>
    </row>
    <row r="11" spans="1:3" x14ac:dyDescent="0.25">
      <c r="A11" s="42" t="s">
        <v>18</v>
      </c>
      <c r="B11" s="46">
        <v>3000</v>
      </c>
      <c r="C11" s="47"/>
    </row>
    <row r="12" spans="1:3" x14ac:dyDescent="0.25">
      <c r="A12" s="42" t="s">
        <v>40</v>
      </c>
      <c r="B12" s="46"/>
      <c r="C12" s="47">
        <v>340</v>
      </c>
    </row>
    <row r="13" spans="1:3" x14ac:dyDescent="0.25">
      <c r="A13" s="42" t="s">
        <v>38</v>
      </c>
      <c r="B13" s="46"/>
      <c r="C13" s="47">
        <v>95</v>
      </c>
    </row>
    <row r="14" spans="1:3" x14ac:dyDescent="0.25">
      <c r="A14" s="42" t="s">
        <v>37</v>
      </c>
      <c r="B14" s="46"/>
      <c r="C14" s="47">
        <v>300</v>
      </c>
    </row>
    <row r="15" spans="1:3" x14ac:dyDescent="0.25">
      <c r="A15" s="43" t="s">
        <v>43</v>
      </c>
      <c r="B15" s="48">
        <v>3000</v>
      </c>
      <c r="C15" s="49">
        <v>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categories_cash book</vt:lpstr>
      <vt:lpstr>cash book - Argenta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vandendaele</dc:creator>
  <cp:lastModifiedBy>Tom Van Den Daele</cp:lastModifiedBy>
  <dcterms:created xsi:type="dcterms:W3CDTF">2021-02-11T15:36:57Z</dcterms:created>
  <dcterms:modified xsi:type="dcterms:W3CDTF">2025-12-22T09:44:05Z</dcterms:modified>
</cp:coreProperties>
</file>