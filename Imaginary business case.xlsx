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om\Downloads\"/>
    </mc:Choice>
  </mc:AlternateContent>
  <xr:revisionPtr revIDLastSave="0" documentId="13_ncr:1_{9C8E35A9-FAB3-42D9-9A05-94E114BE55AF}" xr6:coauthVersionLast="47" xr6:coauthVersionMax="47" xr10:uidLastSave="{00000000-0000-0000-0000-000000000000}"/>
  <bookViews>
    <workbookView xWindow="28680" yWindow="-5520" windowWidth="38640" windowHeight="21120" xr2:uid="{37E7416D-7267-41D6-8B99-1D5C4646AB71}"/>
  </bookViews>
  <sheets>
    <sheet name="ReadMe" sheetId="3" r:id="rId1"/>
    <sheet name="Example analysis" sheetId="1" r:id="rId2"/>
    <sheet name="Scenario analysis" sheetId="2"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10" i="2"/>
  <c r="D25" i="1"/>
  <c r="E25" i="1" s="1"/>
  <c r="D26" i="1"/>
  <c r="E26" i="1" s="1"/>
  <c r="D27" i="1"/>
  <c r="E27" i="1" s="1"/>
  <c r="D24" i="1"/>
  <c r="E24" i="1" s="1"/>
  <c r="B10" i="1"/>
  <c r="D18" i="1"/>
  <c r="E18" i="1" s="1"/>
  <c r="D17" i="1"/>
  <c r="E17" i="1" s="1"/>
  <c r="D16" i="1"/>
  <c r="E16" i="1" s="1"/>
  <c r="D9" i="1"/>
  <c r="E9" i="1" s="1"/>
  <c r="D8" i="1"/>
  <c r="E8" i="1" s="1"/>
  <c r="C10" i="1"/>
  <c r="D10" i="1" l="1"/>
  <c r="E10" i="1" s="1"/>
</calcChain>
</file>

<file path=xl/sharedStrings.xml><?xml version="1.0" encoding="utf-8"?>
<sst xmlns="http://schemas.openxmlformats.org/spreadsheetml/2006/main" count="74" uniqueCount="66">
  <si>
    <t>Imaginary ltd.</t>
  </si>
  <si>
    <t>Revenue total</t>
  </si>
  <si>
    <t>Costs total</t>
  </si>
  <si>
    <t>Netto result</t>
  </si>
  <si>
    <t>Budget</t>
  </si>
  <si>
    <t>Actual</t>
  </si>
  <si>
    <t>difference</t>
  </si>
  <si>
    <t>% difference</t>
  </si>
  <si>
    <t>Detail 2 - Revenue Actuals Vs. Budgeted per region</t>
  </si>
  <si>
    <t>Germany</t>
  </si>
  <si>
    <t>Belgium</t>
  </si>
  <si>
    <t>France</t>
  </si>
  <si>
    <t>Detail 3 - Cost Actuals Vs. Budgeted per subject</t>
  </si>
  <si>
    <t>Transport</t>
  </si>
  <si>
    <t>Marketing</t>
  </si>
  <si>
    <t>Personnel</t>
  </si>
  <si>
    <t>Other</t>
  </si>
  <si>
    <t>Background info</t>
  </si>
  <si>
    <t>company's figures</t>
  </si>
  <si>
    <t>Management questions</t>
  </si>
  <si>
    <t>CFO</t>
  </si>
  <si>
    <t>“Which of these issues are structural (long‑term) versus temporary (one‑off)?”</t>
  </si>
  <si>
    <t>“Do we need to renegotiate transport contracts, or are fuel prices expected to normalize?”</t>
  </si>
  <si>
    <t>“Is the marketing ROI acceptable, or should we rethink our campaign approach?”</t>
  </si>
  <si>
    <t>CEO</t>
  </si>
  <si>
    <t>“Should we consider adjusting our pricing strategy in Germany to remain competitive?”</t>
  </si>
  <si>
    <t>Finance Manager</t>
  </si>
  <si>
    <t>“Personnel costs rose slightly due to temporary staff. Should we expect this to continue, or was it a one‑off?”</t>
  </si>
  <si>
    <t>“The German client loss is significant. What’s our plan to replace this €3.5M revenue stream?”</t>
  </si>
  <si>
    <t>“Our profit is €6.5M below plan. Can you break down the main drivers?</t>
  </si>
  <si>
    <r>
      <t xml:space="preserve">Marketing campaign: </t>
    </r>
    <r>
      <rPr>
        <sz val="11"/>
        <color theme="1"/>
        <rFont val="Aptos Narrow"/>
        <family val="2"/>
        <scheme val="minor"/>
      </rPr>
      <t>During the Q3 management meeting, the Marketing Director presented the campaign results with enthusiasm, highlighting strong engagement metrics: website traffic was up 40%, and social media impressions doubled compared to the previous quarter.
However, when the CFO asked about sales conversion, the numbers told a different story. The €1.2M overspend generated only €0.5M in incremental revenue. The Finance team noted that while awareness improved, the campaign failed to translate into actual sales.
Later, in a follow‑up email to the executive team, Marketing argued that the campaign was more about long‑term brand positioning than immediate sales. They claimed that the benefits would materialize in 2026, especially in Belgium and France where brand recognition is weaker.
The CEO pushed back in a Teams call, asking whether the campaign was properly aligned with sales strategy. Sales managers admitted they hadn’t been fully involved in the planning, which may explain the weak conversion.</t>
    </r>
  </si>
  <si>
    <r>
      <t>Transport costs:</t>
    </r>
    <r>
      <rPr>
        <sz val="11"/>
        <color theme="1"/>
        <rFont val="Aptos Narrow"/>
        <family val="2"/>
        <scheme val="minor"/>
      </rPr>
      <t xml:space="preserve"> During an operations review, the Logistics Manager presented a slide deck showing fuel costs rising steadily over the past months. He explained that the new logistics partner, chosen for reliability and faster delivery times, had higher base rates than the previous provider. Finance asked why this wasn’t reflected in the budget. Operations responded that negotiations were still ongoing when the budget was finalized, and they had assumed efficiency gains would offset the higher rates. The COO added that the contract is locked for 12 months.</t>
    </r>
  </si>
  <si>
    <r>
      <t>Personnel costs:</t>
    </r>
    <r>
      <rPr>
        <sz val="11"/>
        <color theme="1"/>
        <rFont val="Aptos Narrow"/>
        <family val="2"/>
        <scheme val="minor"/>
      </rPr>
      <t xml:space="preserve"> In HR’s quarterly update, the HR Director explained that temporary staff were hired in Germany to support the transition after the client loss. The Finance Manager asked whether this was a one‑off or if more temporary hires would be needed. HR responded that if new clients are secured quickly, the costs will remain temporary, but if the German market continues to struggle, additional support may be required.</t>
    </r>
  </si>
  <si>
    <r>
      <t>Germany – lost revenue:</t>
    </r>
    <r>
      <rPr>
        <sz val="11"/>
        <color theme="1"/>
        <rFont val="Aptos Narrow"/>
        <family val="2"/>
        <scheme val="minor"/>
      </rPr>
      <t xml:space="preserve"> After sending an email asking for clarification on why there is such a large difference between the budgeted and actuals of Germany's revenue the Sales Director shared a Teams recording with Finance after a tense call with one of Germany’s largest clients. The client explained they were switching suppliers due to aggressive competitor discounts — some offering up to 15% below market rates. The Sales team admitted they had flagged this risk months earlier but hoped loyalty would outweigh price. The CFO noted in his meeting minutes that this loss represented roughly €3.3M in annual revenue and raised concerns about whether pricing strategy in Germany was sustainable.</t>
    </r>
  </si>
  <si>
    <t>“France is flat — do we see growth opportunities there, or is this a mature market?”</t>
  </si>
  <si>
    <r>
      <t>France:</t>
    </r>
    <r>
      <rPr>
        <sz val="11"/>
        <color theme="1"/>
        <rFont val="Aptos Narrow"/>
        <family val="2"/>
        <scheme val="minor"/>
      </rPr>
      <t xml:space="preserve"> At the regional performance review, the French country managers reported “stable but flat” market. Churn was low, and existing clients remained loyal, but growth opportunities were limited. The French manager mentioned that competitors were experimenting with new product bundles. The CEO asked whether brand investments could unlock growth, but the country manager cautioned that without new product lines, expansion would be difficult.</t>
    </r>
  </si>
  <si>
    <t>The drivers of this are: (1) the revenu in Germany, (2) the transport costs, (3) The marketing costs, (4) Personnel costs, &amp; (5) Lower revenue in France
(1) The Actual revenue of Germany is far lower than our budgeted this is due to the agressive discounting of competitors in this market. Because of this we lost one large client representing 3.3M EUR which largely explains our difference.
(2) The Logistics department explained to us that the new logistics partner charged higher base rates and that this contract was locked in for the current year. Prudent to look for alternative suppliers or renogiate the contract for the next year. 
(3) The marketing team overspend their budget. 
(4) Due to the loss of the German client we had to hire temporary personnel to help with the transition. 
(5) Due to France being a Matured market and competitors looking at other product lines we see a marginally lower than budgeted revenue.</t>
  </si>
  <si>
    <t xml:space="preserve">(1), (4), &amp; (5) are structural while (2) &amp; (3) are temporary. </t>
  </si>
  <si>
    <t xml:space="preserve">We should renegotiate the contract and also look at competitors offers to see if there are more advantageous offers. </t>
  </si>
  <si>
    <t xml:space="preserve">No, The ROI is very low (-58,33%) on this campaign and should be revised. </t>
  </si>
  <si>
    <t xml:space="preserve">We should look at our pricing strategy as our competitors are undercutting us and we have already lost one client to this. </t>
  </si>
  <si>
    <t>Yes, see above</t>
  </si>
  <si>
    <t xml:space="preserve">The country manager shared that it is a flat market and there is no growth opportunity? If we want  to continue to grow we need to look at different strategies. Either cost reduction, look at new product lines or another strategy. </t>
  </si>
  <si>
    <t>HR indicated that this could be a one off but it will depend on how the situation of the German markets develop. HR indicated that if the situation continues additional support might even be required. This needs to be looked at together with the new strategy for Germany</t>
  </si>
  <si>
    <t>“Can you prepare a scenario analysis for the transport costs for the following year for future discussions with the supplier?”</t>
  </si>
  <si>
    <t>Yes, see Tab Scenario analysis</t>
  </si>
  <si>
    <t>Transport costs</t>
  </si>
  <si>
    <t>Variantie %</t>
  </si>
  <si>
    <t>kosten</t>
  </si>
  <si>
    <t>About this exercise</t>
  </si>
  <si>
    <t>This exercise is designed to show how I:</t>
  </si>
  <si>
    <t>What I did</t>
  </si>
  <si>
    <t>Purpose for clients</t>
  </si>
  <si>
    <t>This workbook contains a fictional business scenario created to demonstrate how I approach financial analysis and management reporting. The dataset (Budget vs. Actual figures for revenue, costs, and net profit) is provided together with background context written in a realistic business narrative (e.g. client loss in Germany, marketing campaign overspend, transport cost increases, personnel changes, and stable Belgian/French markets).</t>
  </si>
  <si>
    <t>I classified issues as structural (long‑term) or temporary (one‑off).</t>
  </si>
  <si>
    <t>I prepared a scenario analysis for transport costs (‑15% to +15%).</t>
  </si>
  <si>
    <t>I answered the management questions posed by the CFO, CEO, and Finance Manager.</t>
  </si>
  <si>
    <t>My answers are written directly in the workbook and highlighted in blue, so they are easy to identify.</t>
  </si>
  <si>
    <t>Translate financial data into clear insights.</t>
  </si>
  <si>
    <t>Combine numbers with business storytelling (emails, meetings, management notes).</t>
  </si>
  <si>
    <t>Provide actionable recommendations for management.</t>
  </si>
  <si>
    <t>Use Excel tools like Data Tables for scenario analysis.</t>
  </si>
  <si>
    <t xml:space="preserve"> By reading this tab, you’ll understand the context of the exercise, the type of analysis performed, and how I structured my answers. It demonstrates both my technical skills and my ability to communicate results in a way that supports decision‑making.</t>
  </si>
  <si>
    <t>Detail 1 - P&amp;L Actuals Vs. Budgeted</t>
  </si>
  <si>
    <t>I analyzed the budget vs. actual variances.</t>
  </si>
  <si>
    <t xml:space="preserve">Below I made a scenario anaysis of the transportation costs. I have used the actual transportation costs from the example and then made several scenario's where this cost would decrease or increase percentagewise.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</si>
</sst>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u/>
      <sz val="11"/>
      <color theme="1"/>
      <name val="Aptos Narrow"/>
      <family val="2"/>
      <scheme val="minor"/>
    </font>
    <font>
      <i/>
      <sz val="11"/>
      <color theme="1"/>
      <name val="Aptos Narrow"/>
      <family val="2"/>
      <scheme val="minor"/>
    </font>
    <font>
      <b/>
      <sz val="12"/>
      <color theme="1"/>
      <name val="Aptos Narrow"/>
      <family val="2"/>
      <scheme val="minor"/>
    </font>
    <font>
      <b/>
      <u/>
      <sz val="14"/>
      <color theme="1"/>
      <name val="Aptos Narrow"/>
      <family val="2"/>
      <scheme val="minor"/>
    </font>
    <font>
      <i/>
      <sz val="11"/>
      <color rgb="FF0070C0"/>
      <name val="Aptos Narrow"/>
      <family val="2"/>
      <scheme val="minor"/>
    </font>
    <font>
      <sz val="11"/>
      <color rgb="FF0070C0"/>
      <name val="Aptos Narrow"/>
      <family val="2"/>
      <scheme val="minor"/>
    </font>
    <font>
      <sz val="11"/>
      <color theme="1"/>
      <name val="Calibri"/>
      <family val="2"/>
    </font>
    <font>
      <b/>
      <sz val="14"/>
      <color theme="1"/>
      <name val="Calibri"/>
      <family val="2"/>
    </font>
    <font>
      <u/>
      <sz val="14"/>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44" fontId="0" fillId="0" borderId="0" xfId="1" applyFont="1"/>
    <xf numFmtId="9" fontId="0" fillId="0" borderId="0" xfId="2" applyFont="1"/>
    <xf numFmtId="10" fontId="0" fillId="0" borderId="0" xfId="2" applyNumberFormat="1" applyFont="1"/>
    <xf numFmtId="0" fontId="4" fillId="0" borderId="0" xfId="0" applyFont="1"/>
    <xf numFmtId="0" fontId="2" fillId="0" borderId="0" xfId="0" applyFont="1"/>
    <xf numFmtId="0" fontId="5" fillId="0" borderId="0" xfId="0" applyFont="1"/>
    <xf numFmtId="0" fontId="6" fillId="0" borderId="0" xfId="0" applyFont="1"/>
    <xf numFmtId="0" fontId="7" fillId="0" borderId="0" xfId="0" applyFont="1"/>
    <xf numFmtId="0" fontId="2" fillId="0" borderId="0" xfId="0" applyFont="1" applyAlignment="1">
      <alignment vertical="top" wrapText="1"/>
    </xf>
    <xf numFmtId="0" fontId="8" fillId="0" borderId="0" xfId="0" applyFont="1"/>
    <xf numFmtId="0" fontId="9" fillId="0" borderId="0" xfId="0" applyFont="1"/>
    <xf numFmtId="9" fontId="0" fillId="0" borderId="0" xfId="0" applyNumberFormat="1"/>
    <xf numFmtId="44" fontId="0" fillId="0" borderId="0" xfId="0" applyNumberFormat="1"/>
    <xf numFmtId="0" fontId="10" fillId="0" borderId="0" xfId="0" applyFont="1"/>
    <xf numFmtId="0" fontId="10" fillId="0" borderId="0" xfId="0" applyFont="1" applyAlignment="1">
      <alignment horizontal="left" vertical="center" indent="1"/>
    </xf>
    <xf numFmtId="0" fontId="11" fillId="0" borderId="0" xfId="0" applyFont="1" applyAlignment="1">
      <alignment vertical="center"/>
    </xf>
    <xf numFmtId="0" fontId="10" fillId="0" borderId="0" xfId="0" applyFont="1" applyAlignment="1">
      <alignment vertical="top" wrapText="1"/>
    </xf>
    <xf numFmtId="0" fontId="12" fillId="0" borderId="0" xfId="0" applyFont="1"/>
    <xf numFmtId="0" fontId="10" fillId="0" borderId="0" xfId="0" applyFont="1" applyAlignment="1">
      <alignment horizontal="left" vertical="top" wrapText="1"/>
    </xf>
    <xf numFmtId="0" fontId="2" fillId="0" borderId="0" xfId="0" applyFont="1" applyAlignment="1">
      <alignment horizontal="left" vertical="top" wrapText="1"/>
    </xf>
    <xf numFmtId="0" fontId="8" fillId="0" borderId="0" xfId="0" applyFont="1" applyAlignment="1">
      <alignment horizontal="left" vertical="top" wrapText="1"/>
    </xf>
    <xf numFmtId="0" fontId="3" fillId="0" borderId="0" xfId="0" applyFont="1" applyAlignment="1">
      <alignment horizontal="center"/>
    </xf>
  </cellXfs>
  <cellStyles count="3">
    <cellStyle name="Currency" xfId="1" builtinId="4"/>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47625</xdr:colOff>
      <xdr:row>37</xdr:row>
      <xdr:rowOff>9525</xdr:rowOff>
    </xdr:from>
    <xdr:to>
      <xdr:col>0</xdr:col>
      <xdr:colOff>466725</xdr:colOff>
      <xdr:row>38</xdr:row>
      <xdr:rowOff>9525</xdr:rowOff>
    </xdr:to>
    <xdr:sp macro="" textlink="">
      <xdr:nvSpPr>
        <xdr:cNvPr id="2" name="Arrow: Right 1">
          <a:extLst>
            <a:ext uri="{FF2B5EF4-FFF2-40B4-BE49-F238E27FC236}">
              <a16:creationId xmlns:a16="http://schemas.microsoft.com/office/drawing/2014/main" id="{2EBA7B27-4A5C-FD64-FA3C-EC6DB1FBB36A}"/>
            </a:ext>
          </a:extLst>
        </xdr:cNvPr>
        <xdr:cNvSpPr/>
      </xdr:nvSpPr>
      <xdr:spPr>
        <a:xfrm>
          <a:off x="47625" y="7581900"/>
          <a:ext cx="419100" cy="1905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2564-AB66-4F48-A1C2-E933A29FEA80}">
  <sheetPr>
    <tabColor rgb="FFFF0000"/>
  </sheetPr>
  <dimension ref="A3:J38"/>
  <sheetViews>
    <sheetView tabSelected="1" workbookViewId="0">
      <selection activeCell="K19" sqref="K19"/>
    </sheetView>
  </sheetViews>
  <sheetFormatPr defaultRowHeight="15" x14ac:dyDescent="0.25"/>
  <cols>
    <col min="1" max="16384" width="9.140625" style="14"/>
  </cols>
  <sheetData>
    <row r="3" spans="1:10" ht="18.75" x14ac:dyDescent="0.25">
      <c r="A3" s="16" t="s">
        <v>49</v>
      </c>
    </row>
    <row r="5" spans="1:10" ht="15" customHeight="1" x14ac:dyDescent="0.25">
      <c r="A5" s="19" t="s">
        <v>53</v>
      </c>
      <c r="B5" s="19"/>
      <c r="C5" s="19"/>
      <c r="D5" s="19"/>
      <c r="E5" s="19"/>
      <c r="F5" s="19"/>
      <c r="G5" s="19"/>
      <c r="H5" s="19"/>
      <c r="I5" s="19"/>
      <c r="J5" s="19"/>
    </row>
    <row r="6" spans="1:10" x14ac:dyDescent="0.25">
      <c r="A6" s="19"/>
      <c r="B6" s="19"/>
      <c r="C6" s="19"/>
      <c r="D6" s="19"/>
      <c r="E6" s="19"/>
      <c r="F6" s="19"/>
      <c r="G6" s="19"/>
      <c r="H6" s="19"/>
      <c r="I6" s="19"/>
      <c r="J6" s="19"/>
    </row>
    <row r="7" spans="1:10" x14ac:dyDescent="0.25">
      <c r="A7" s="19"/>
      <c r="B7" s="19"/>
      <c r="C7" s="19"/>
      <c r="D7" s="19"/>
      <c r="E7" s="19"/>
      <c r="F7" s="19"/>
      <c r="G7" s="19"/>
      <c r="H7" s="19"/>
      <c r="I7" s="19"/>
      <c r="J7" s="19"/>
    </row>
    <row r="8" spans="1:10" x14ac:dyDescent="0.25">
      <c r="A8" s="19"/>
      <c r="B8" s="19"/>
      <c r="C8" s="19"/>
      <c r="D8" s="19"/>
      <c r="E8" s="19"/>
      <c r="F8" s="19"/>
      <c r="G8" s="19"/>
      <c r="H8" s="19"/>
      <c r="I8" s="19"/>
      <c r="J8" s="19"/>
    </row>
    <row r="9" spans="1:10" x14ac:dyDescent="0.25">
      <c r="A9" s="19"/>
      <c r="B9" s="19"/>
      <c r="C9" s="19"/>
      <c r="D9" s="19"/>
      <c r="E9" s="19"/>
      <c r="F9" s="19"/>
      <c r="G9" s="19"/>
      <c r="H9" s="19"/>
      <c r="I9" s="19"/>
      <c r="J9" s="19"/>
    </row>
    <row r="10" spans="1:10" x14ac:dyDescent="0.25">
      <c r="A10" s="19"/>
      <c r="B10" s="19"/>
      <c r="C10" s="19"/>
      <c r="D10" s="19"/>
      <c r="E10" s="19"/>
      <c r="F10" s="19"/>
      <c r="G10" s="19"/>
      <c r="H10" s="19"/>
      <c r="I10" s="19"/>
      <c r="J10" s="19"/>
    </row>
    <row r="11" spans="1:10" x14ac:dyDescent="0.25">
      <c r="A11" s="17"/>
      <c r="B11" s="17"/>
      <c r="C11" s="17"/>
      <c r="D11" s="17"/>
      <c r="E11" s="17"/>
      <c r="F11" s="17"/>
      <c r="G11" s="17"/>
    </row>
    <row r="13" spans="1:10" ht="18.75" x14ac:dyDescent="0.25">
      <c r="A13" s="16" t="s">
        <v>51</v>
      </c>
    </row>
    <row r="14" spans="1:10" x14ac:dyDescent="0.25">
      <c r="A14" s="15"/>
    </row>
    <row r="15" spans="1:10" x14ac:dyDescent="0.25">
      <c r="A15" s="15" t="s">
        <v>64</v>
      </c>
    </row>
    <row r="16" spans="1:10" x14ac:dyDescent="0.25">
      <c r="A16" s="15"/>
    </row>
    <row r="17" spans="1:1" x14ac:dyDescent="0.25">
      <c r="A17" s="15" t="s">
        <v>54</v>
      </c>
    </row>
    <row r="18" spans="1:1" x14ac:dyDescent="0.25">
      <c r="A18" s="15"/>
    </row>
    <row r="19" spans="1:1" x14ac:dyDescent="0.25">
      <c r="A19" s="15" t="s">
        <v>55</v>
      </c>
    </row>
    <row r="20" spans="1:1" x14ac:dyDescent="0.25">
      <c r="A20" s="15"/>
    </row>
    <row r="21" spans="1:1" x14ac:dyDescent="0.25">
      <c r="A21" s="15" t="s">
        <v>56</v>
      </c>
    </row>
    <row r="22" spans="1:1" x14ac:dyDescent="0.25">
      <c r="A22" s="15"/>
    </row>
    <row r="23" spans="1:1" x14ac:dyDescent="0.25">
      <c r="A23" s="15" t="s">
        <v>57</v>
      </c>
    </row>
    <row r="25" spans="1:1" ht="18.75" x14ac:dyDescent="0.25">
      <c r="A25" s="16" t="s">
        <v>52</v>
      </c>
    </row>
    <row r="27" spans="1:1" x14ac:dyDescent="0.25">
      <c r="A27" s="14" t="s">
        <v>50</v>
      </c>
    </row>
    <row r="28" spans="1:1" x14ac:dyDescent="0.25">
      <c r="A28" s="15"/>
    </row>
    <row r="29" spans="1:1" x14ac:dyDescent="0.25">
      <c r="A29" s="15" t="s">
        <v>58</v>
      </c>
    </row>
    <row r="30" spans="1:1" x14ac:dyDescent="0.25">
      <c r="A30" s="15"/>
    </row>
    <row r="31" spans="1:1" x14ac:dyDescent="0.25">
      <c r="A31" s="15" t="s">
        <v>59</v>
      </c>
    </row>
    <row r="32" spans="1:1" x14ac:dyDescent="0.25">
      <c r="A32" s="15"/>
    </row>
    <row r="33" spans="1:2" x14ac:dyDescent="0.25">
      <c r="A33" s="15" t="s">
        <v>60</v>
      </c>
    </row>
    <row r="34" spans="1:2" x14ac:dyDescent="0.25">
      <c r="A34" s="15"/>
    </row>
    <row r="35" spans="1:2" x14ac:dyDescent="0.25">
      <c r="A35" s="15" t="s">
        <v>61</v>
      </c>
    </row>
    <row r="38" spans="1:2" x14ac:dyDescent="0.25">
      <c r="B38" s="14" t="s">
        <v>62</v>
      </c>
    </row>
  </sheetData>
  <mergeCells count="1">
    <mergeCell ref="A5:J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A14D7-8166-45FD-8F05-60D77EBD0BF9}">
  <dimension ref="A1:H127"/>
  <sheetViews>
    <sheetView zoomScaleNormal="100" workbookViewId="0">
      <selection activeCell="A6" sqref="A6"/>
    </sheetView>
  </sheetViews>
  <sheetFormatPr defaultRowHeight="15" x14ac:dyDescent="0.25"/>
  <cols>
    <col min="1" max="1" width="16.28515625" customWidth="1"/>
    <col min="2" max="3" width="15.140625" bestFit="1" customWidth="1"/>
    <col min="4" max="4" width="14.85546875" bestFit="1" customWidth="1"/>
    <col min="5" max="5" width="11.7109375" bestFit="1" customWidth="1"/>
    <col min="7" max="7" width="12.7109375" bestFit="1" customWidth="1"/>
    <col min="8" max="8" width="16.28515625" customWidth="1"/>
    <col min="9" max="9" width="15.7109375" customWidth="1"/>
    <col min="10" max="10" width="15.42578125" customWidth="1"/>
    <col min="11" max="11" width="11.7109375" bestFit="1" customWidth="1"/>
  </cols>
  <sheetData>
    <row r="1" spans="1:5" ht="21" x14ac:dyDescent="0.35">
      <c r="A1" s="22" t="s">
        <v>0</v>
      </c>
      <c r="B1" s="22"/>
      <c r="C1" s="22"/>
      <c r="D1" s="22"/>
      <c r="E1" s="22"/>
    </row>
    <row r="3" spans="1:5" ht="18.75" x14ac:dyDescent="0.3">
      <c r="A3" s="8" t="s">
        <v>18</v>
      </c>
    </row>
    <row r="5" spans="1:5" x14ac:dyDescent="0.25">
      <c r="A5" t="s">
        <v>63</v>
      </c>
    </row>
    <row r="7" spans="1:5" x14ac:dyDescent="0.25">
      <c r="B7" s="4" t="s">
        <v>5</v>
      </c>
      <c r="C7" s="4" t="s">
        <v>4</v>
      </c>
      <c r="D7" s="4" t="s">
        <v>6</v>
      </c>
      <c r="E7" s="4" t="s">
        <v>7</v>
      </c>
    </row>
    <row r="8" spans="1:5" x14ac:dyDescent="0.25">
      <c r="A8" s="4" t="s">
        <v>1</v>
      </c>
      <c r="B8" s="1">
        <v>46000000</v>
      </c>
      <c r="C8" s="1">
        <v>50000000</v>
      </c>
      <c r="D8" s="1">
        <f>B8-C8</f>
        <v>-4000000</v>
      </c>
      <c r="E8" s="3">
        <f>D8/C8</f>
        <v>-0.08</v>
      </c>
    </row>
    <row r="9" spans="1:5" x14ac:dyDescent="0.25">
      <c r="A9" s="4" t="s">
        <v>2</v>
      </c>
      <c r="B9" s="1">
        <v>34500000</v>
      </c>
      <c r="C9" s="1">
        <v>32000000</v>
      </c>
      <c r="D9" s="1">
        <f>B9-C9</f>
        <v>2500000</v>
      </c>
      <c r="E9" s="3">
        <f>D9/C9</f>
        <v>7.8125E-2</v>
      </c>
    </row>
    <row r="10" spans="1:5" x14ac:dyDescent="0.25">
      <c r="A10" s="4" t="s">
        <v>3</v>
      </c>
      <c r="B10" s="1">
        <f>B8-B9</f>
        <v>11500000</v>
      </c>
      <c r="C10" s="1">
        <f>C8-C9</f>
        <v>18000000</v>
      </c>
      <c r="D10" s="1">
        <f>B10-C10</f>
        <v>-6500000</v>
      </c>
      <c r="E10" s="3">
        <f>D10/C10</f>
        <v>-0.3611111111111111</v>
      </c>
    </row>
    <row r="13" spans="1:5" x14ac:dyDescent="0.25">
      <c r="A13" t="s">
        <v>8</v>
      </c>
    </row>
    <row r="15" spans="1:5" x14ac:dyDescent="0.25">
      <c r="B15" s="4" t="s">
        <v>5</v>
      </c>
      <c r="C15" s="4" t="s">
        <v>4</v>
      </c>
      <c r="D15" s="4" t="s">
        <v>6</v>
      </c>
      <c r="E15" s="4" t="s">
        <v>7</v>
      </c>
    </row>
    <row r="16" spans="1:5" x14ac:dyDescent="0.25">
      <c r="A16" s="4" t="s">
        <v>9</v>
      </c>
      <c r="B16" s="1">
        <v>16500000</v>
      </c>
      <c r="C16" s="1">
        <v>20000000</v>
      </c>
      <c r="D16" s="1">
        <f>B16-C16</f>
        <v>-3500000</v>
      </c>
      <c r="E16" s="3">
        <f>D16/C16</f>
        <v>-0.17499999999999999</v>
      </c>
    </row>
    <row r="17" spans="1:5" x14ac:dyDescent="0.25">
      <c r="A17" s="4" t="s">
        <v>10</v>
      </c>
      <c r="B17" s="1">
        <v>15050000</v>
      </c>
      <c r="C17" s="1">
        <v>15000000</v>
      </c>
      <c r="D17" s="1">
        <f>B17-C17</f>
        <v>50000</v>
      </c>
      <c r="E17" s="3">
        <f>D17/C17</f>
        <v>3.3333333333333335E-3</v>
      </c>
    </row>
    <row r="18" spans="1:5" x14ac:dyDescent="0.25">
      <c r="A18" s="4" t="s">
        <v>11</v>
      </c>
      <c r="B18" s="1">
        <v>14700000</v>
      </c>
      <c r="C18" s="1">
        <v>15000000</v>
      </c>
      <c r="D18" s="1">
        <f>B18-C18</f>
        <v>-300000</v>
      </c>
      <c r="E18" s="3">
        <f>D18/C18</f>
        <v>-0.02</v>
      </c>
    </row>
    <row r="21" spans="1:5" x14ac:dyDescent="0.25">
      <c r="A21" t="s">
        <v>12</v>
      </c>
    </row>
    <row r="23" spans="1:5" x14ac:dyDescent="0.25">
      <c r="B23" s="4" t="s">
        <v>5</v>
      </c>
      <c r="C23" s="4" t="s">
        <v>4</v>
      </c>
      <c r="D23" s="4" t="s">
        <v>6</v>
      </c>
      <c r="E23" s="4" t="s">
        <v>7</v>
      </c>
    </row>
    <row r="24" spans="1:5" x14ac:dyDescent="0.25">
      <c r="A24" s="4" t="s">
        <v>13</v>
      </c>
      <c r="B24" s="1">
        <v>5200000</v>
      </c>
      <c r="C24" s="1">
        <v>4000000</v>
      </c>
      <c r="D24" s="1">
        <f>B24-C24</f>
        <v>1200000</v>
      </c>
      <c r="E24" s="3">
        <f>D24/C24</f>
        <v>0.3</v>
      </c>
    </row>
    <row r="25" spans="1:5" x14ac:dyDescent="0.25">
      <c r="A25" s="4" t="s">
        <v>14</v>
      </c>
      <c r="B25" s="1">
        <v>4200000</v>
      </c>
      <c r="C25" s="1">
        <v>3000000</v>
      </c>
      <c r="D25" s="1">
        <f t="shared" ref="D25:D27" si="0">B25-C25</f>
        <v>1200000</v>
      </c>
      <c r="E25" s="3">
        <f>D25/C25</f>
        <v>0.4</v>
      </c>
    </row>
    <row r="26" spans="1:5" x14ac:dyDescent="0.25">
      <c r="A26" s="4" t="s">
        <v>15</v>
      </c>
      <c r="B26" s="1">
        <v>15500000</v>
      </c>
      <c r="C26" s="1">
        <v>15000000</v>
      </c>
      <c r="D26" s="1">
        <f t="shared" si="0"/>
        <v>500000</v>
      </c>
      <c r="E26" s="3">
        <f>D26/C26</f>
        <v>3.3333333333333333E-2</v>
      </c>
    </row>
    <row r="27" spans="1:5" x14ac:dyDescent="0.25">
      <c r="A27" s="4" t="s">
        <v>16</v>
      </c>
      <c r="B27" s="1">
        <v>9600000</v>
      </c>
      <c r="C27" s="1">
        <v>10000000</v>
      </c>
      <c r="D27" s="1">
        <f t="shared" si="0"/>
        <v>-400000</v>
      </c>
      <c r="E27" s="3">
        <f>D27/C27</f>
        <v>-0.04</v>
      </c>
    </row>
    <row r="31" spans="1:5" ht="18.75" x14ac:dyDescent="0.3">
      <c r="A31" s="8" t="s">
        <v>17</v>
      </c>
    </row>
    <row r="33" spans="1:8" x14ac:dyDescent="0.25">
      <c r="A33" s="20" t="s">
        <v>33</v>
      </c>
      <c r="B33" s="20"/>
      <c r="C33" s="20"/>
      <c r="D33" s="20"/>
      <c r="E33" s="20"/>
      <c r="F33" s="20"/>
      <c r="G33" s="20"/>
      <c r="H33" s="20"/>
    </row>
    <row r="34" spans="1:8" x14ac:dyDescent="0.25">
      <c r="A34" s="20"/>
      <c r="B34" s="20"/>
      <c r="C34" s="20"/>
      <c r="D34" s="20"/>
      <c r="E34" s="20"/>
      <c r="F34" s="20"/>
      <c r="G34" s="20"/>
      <c r="H34" s="20"/>
    </row>
    <row r="35" spans="1:8" x14ac:dyDescent="0.25">
      <c r="A35" s="20"/>
      <c r="B35" s="20"/>
      <c r="C35" s="20"/>
      <c r="D35" s="20"/>
      <c r="E35" s="20"/>
      <c r="F35" s="20"/>
      <c r="G35" s="20"/>
      <c r="H35" s="20"/>
    </row>
    <row r="36" spans="1:8" x14ac:dyDescent="0.25">
      <c r="A36" s="20"/>
      <c r="B36" s="20"/>
      <c r="C36" s="20"/>
      <c r="D36" s="20"/>
      <c r="E36" s="20"/>
      <c r="F36" s="20"/>
      <c r="G36" s="20"/>
      <c r="H36" s="20"/>
    </row>
    <row r="37" spans="1:8" x14ac:dyDescent="0.25">
      <c r="A37" s="20"/>
      <c r="B37" s="20"/>
      <c r="C37" s="20"/>
      <c r="D37" s="20"/>
      <c r="E37" s="20"/>
      <c r="F37" s="20"/>
      <c r="G37" s="20"/>
      <c r="H37" s="20"/>
    </row>
    <row r="38" spans="1:8" x14ac:dyDescent="0.25">
      <c r="A38" s="20"/>
      <c r="B38" s="20"/>
      <c r="C38" s="20"/>
      <c r="D38" s="20"/>
      <c r="E38" s="20"/>
      <c r="F38" s="20"/>
      <c r="G38" s="20"/>
      <c r="H38" s="20"/>
    </row>
    <row r="41" spans="1:8" ht="15" customHeight="1" x14ac:dyDescent="0.25">
      <c r="A41" s="20" t="s">
        <v>30</v>
      </c>
      <c r="B41" s="20"/>
      <c r="C41" s="20"/>
      <c r="D41" s="20"/>
      <c r="E41" s="20"/>
      <c r="F41" s="20"/>
      <c r="G41" s="20"/>
      <c r="H41" s="20"/>
    </row>
    <row r="42" spans="1:8" x14ac:dyDescent="0.25">
      <c r="A42" s="20"/>
      <c r="B42" s="20"/>
      <c r="C42" s="20"/>
      <c r="D42" s="20"/>
      <c r="E42" s="20"/>
      <c r="F42" s="20"/>
      <c r="G42" s="20"/>
      <c r="H42" s="20"/>
    </row>
    <row r="43" spans="1:8" x14ac:dyDescent="0.25">
      <c r="A43" s="20"/>
      <c r="B43" s="20"/>
      <c r="C43" s="20"/>
      <c r="D43" s="20"/>
      <c r="E43" s="20"/>
      <c r="F43" s="20"/>
      <c r="G43" s="20"/>
      <c r="H43" s="20"/>
    </row>
    <row r="44" spans="1:8" x14ac:dyDescent="0.25">
      <c r="A44" s="20"/>
      <c r="B44" s="20"/>
      <c r="C44" s="20"/>
      <c r="D44" s="20"/>
      <c r="E44" s="20"/>
      <c r="F44" s="20"/>
      <c r="G44" s="20"/>
      <c r="H44" s="20"/>
    </row>
    <row r="45" spans="1:8" x14ac:dyDescent="0.25">
      <c r="A45" s="20"/>
      <c r="B45" s="20"/>
      <c r="C45" s="20"/>
      <c r="D45" s="20"/>
      <c r="E45" s="20"/>
      <c r="F45" s="20"/>
      <c r="G45" s="20"/>
      <c r="H45" s="20"/>
    </row>
    <row r="46" spans="1:8" x14ac:dyDescent="0.25">
      <c r="A46" s="20"/>
      <c r="B46" s="20"/>
      <c r="C46" s="20"/>
      <c r="D46" s="20"/>
      <c r="E46" s="20"/>
      <c r="F46" s="20"/>
      <c r="G46" s="20"/>
      <c r="H46" s="20"/>
    </row>
    <row r="47" spans="1:8" x14ac:dyDescent="0.25">
      <c r="A47" s="20"/>
      <c r="B47" s="20"/>
      <c r="C47" s="20"/>
      <c r="D47" s="20"/>
      <c r="E47" s="20"/>
      <c r="F47" s="20"/>
      <c r="G47" s="20"/>
      <c r="H47" s="20"/>
    </row>
    <row r="48" spans="1:8" x14ac:dyDescent="0.25">
      <c r="A48" s="20"/>
      <c r="B48" s="20"/>
      <c r="C48" s="20"/>
      <c r="D48" s="20"/>
      <c r="E48" s="20"/>
      <c r="F48" s="20"/>
      <c r="G48" s="20"/>
      <c r="H48" s="20"/>
    </row>
    <row r="49" spans="1:8" x14ac:dyDescent="0.25">
      <c r="A49" s="9"/>
      <c r="B49" s="9"/>
      <c r="C49" s="9"/>
      <c r="D49" s="9"/>
      <c r="E49" s="9"/>
      <c r="F49" s="9"/>
      <c r="G49" s="9"/>
      <c r="H49" s="9"/>
    </row>
    <row r="51" spans="1:8" ht="15" customHeight="1" x14ac:dyDescent="0.25">
      <c r="A51" s="20" t="s">
        <v>31</v>
      </c>
      <c r="B51" s="20"/>
      <c r="C51" s="20"/>
      <c r="D51" s="20"/>
      <c r="E51" s="20"/>
      <c r="F51" s="20"/>
      <c r="G51" s="20"/>
      <c r="H51" s="20"/>
    </row>
    <row r="52" spans="1:8" x14ac:dyDescent="0.25">
      <c r="A52" s="20"/>
      <c r="B52" s="20"/>
      <c r="C52" s="20"/>
      <c r="D52" s="20"/>
      <c r="E52" s="20"/>
      <c r="F52" s="20"/>
      <c r="G52" s="20"/>
      <c r="H52" s="20"/>
    </row>
    <row r="53" spans="1:8" x14ac:dyDescent="0.25">
      <c r="A53" s="20"/>
      <c r="B53" s="20"/>
      <c r="C53" s="20"/>
      <c r="D53" s="20"/>
      <c r="E53" s="20"/>
      <c r="F53" s="20"/>
      <c r="G53" s="20"/>
      <c r="H53" s="20"/>
    </row>
    <row r="54" spans="1:8" x14ac:dyDescent="0.25">
      <c r="A54" s="20"/>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5"/>
    </row>
    <row r="59" spans="1:8" x14ac:dyDescent="0.25">
      <c r="A59" s="20" t="s">
        <v>32</v>
      </c>
      <c r="B59" s="20"/>
      <c r="C59" s="20"/>
      <c r="D59" s="20"/>
      <c r="E59" s="20"/>
      <c r="F59" s="20"/>
      <c r="G59" s="20"/>
      <c r="H59" s="20"/>
    </row>
    <row r="60" spans="1:8" x14ac:dyDescent="0.25">
      <c r="A60" s="20"/>
      <c r="B60" s="20"/>
      <c r="C60" s="20"/>
      <c r="D60" s="20"/>
      <c r="E60" s="20"/>
      <c r="F60" s="20"/>
      <c r="G60" s="20"/>
      <c r="H60" s="20"/>
    </row>
    <row r="61" spans="1:8" x14ac:dyDescent="0.25">
      <c r="A61" s="20"/>
      <c r="B61" s="20"/>
      <c r="C61" s="20"/>
      <c r="D61" s="20"/>
      <c r="E61" s="20"/>
      <c r="F61" s="20"/>
      <c r="G61" s="20"/>
      <c r="H61" s="20"/>
    </row>
    <row r="62" spans="1:8" x14ac:dyDescent="0.25">
      <c r="A62" s="20"/>
      <c r="B62" s="20"/>
      <c r="C62" s="20"/>
      <c r="D62" s="20"/>
      <c r="E62" s="20"/>
      <c r="F62" s="20"/>
      <c r="G62" s="20"/>
      <c r="H62" s="20"/>
    </row>
    <row r="63" spans="1:8" x14ac:dyDescent="0.25">
      <c r="A63" s="5"/>
    </row>
    <row r="65" spans="1:8" ht="15" customHeight="1" x14ac:dyDescent="0.25">
      <c r="A65" s="20" t="s">
        <v>35</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69" spans="1:8" x14ac:dyDescent="0.25">
      <c r="A69" s="20"/>
      <c r="B69" s="20"/>
      <c r="C69" s="20"/>
      <c r="D69" s="20"/>
      <c r="E69" s="20"/>
      <c r="F69" s="20"/>
      <c r="G69" s="20"/>
      <c r="H69" s="20"/>
    </row>
    <row r="72" spans="1:8" ht="18.75" x14ac:dyDescent="0.3">
      <c r="A72" s="8" t="s">
        <v>19</v>
      </c>
    </row>
    <row r="74" spans="1:8" ht="18.75" x14ac:dyDescent="0.3">
      <c r="A74" s="18" t="s">
        <v>20</v>
      </c>
    </row>
    <row r="75" spans="1:8" x14ac:dyDescent="0.25">
      <c r="A75" s="6" t="s">
        <v>29</v>
      </c>
    </row>
    <row r="76" spans="1:8" ht="15" customHeight="1" x14ac:dyDescent="0.25">
      <c r="A76" s="21" t="s">
        <v>36</v>
      </c>
      <c r="B76" s="21"/>
      <c r="C76" s="21"/>
      <c r="D76" s="21"/>
      <c r="E76" s="21"/>
      <c r="F76" s="21"/>
      <c r="G76" s="21"/>
      <c r="H76" s="21"/>
    </row>
    <row r="77" spans="1:8" x14ac:dyDescent="0.25">
      <c r="A77" s="21"/>
      <c r="B77" s="21"/>
      <c r="C77" s="21"/>
      <c r="D77" s="21"/>
      <c r="E77" s="21"/>
      <c r="F77" s="21"/>
      <c r="G77" s="21"/>
      <c r="H77" s="21"/>
    </row>
    <row r="78" spans="1:8" x14ac:dyDescent="0.25">
      <c r="A78" s="21"/>
      <c r="B78" s="21"/>
      <c r="C78" s="21"/>
      <c r="D78" s="21"/>
      <c r="E78" s="21"/>
      <c r="F78" s="21"/>
      <c r="G78" s="21"/>
      <c r="H78" s="21"/>
    </row>
    <row r="79" spans="1:8" x14ac:dyDescent="0.25">
      <c r="A79" s="21"/>
      <c r="B79" s="21"/>
      <c r="C79" s="21"/>
      <c r="D79" s="21"/>
      <c r="E79" s="21"/>
      <c r="F79" s="21"/>
      <c r="G79" s="21"/>
      <c r="H79" s="21"/>
    </row>
    <row r="80" spans="1:8" x14ac:dyDescent="0.25">
      <c r="A80" s="21"/>
      <c r="B80" s="21"/>
      <c r="C80" s="21"/>
      <c r="D80" s="21"/>
      <c r="E80" s="21"/>
      <c r="F80" s="21"/>
      <c r="G80" s="21"/>
      <c r="H80" s="21"/>
    </row>
    <row r="81" spans="1:8" x14ac:dyDescent="0.25">
      <c r="A81" s="21"/>
      <c r="B81" s="21"/>
      <c r="C81" s="21"/>
      <c r="D81" s="21"/>
      <c r="E81" s="21"/>
      <c r="F81" s="21"/>
      <c r="G81" s="21"/>
      <c r="H81" s="21"/>
    </row>
    <row r="82" spans="1:8" x14ac:dyDescent="0.25">
      <c r="A82" s="21"/>
      <c r="B82" s="21"/>
      <c r="C82" s="21"/>
      <c r="D82" s="21"/>
      <c r="E82" s="21"/>
      <c r="F82" s="21"/>
      <c r="G82" s="21"/>
      <c r="H82" s="21"/>
    </row>
    <row r="83" spans="1:8" x14ac:dyDescent="0.25">
      <c r="A83" s="21"/>
      <c r="B83" s="21"/>
      <c r="C83" s="21"/>
      <c r="D83" s="21"/>
      <c r="E83" s="21"/>
      <c r="F83" s="21"/>
      <c r="G83" s="21"/>
      <c r="H83" s="21"/>
    </row>
    <row r="84" spans="1:8" x14ac:dyDescent="0.25">
      <c r="A84" s="21"/>
      <c r="B84" s="21"/>
      <c r="C84" s="21"/>
      <c r="D84" s="21"/>
      <c r="E84" s="21"/>
      <c r="F84" s="21"/>
      <c r="G84" s="21"/>
      <c r="H84" s="21"/>
    </row>
    <row r="85" spans="1:8" x14ac:dyDescent="0.25">
      <c r="A85" s="21"/>
      <c r="B85" s="21"/>
      <c r="C85" s="21"/>
      <c r="D85" s="21"/>
      <c r="E85" s="21"/>
      <c r="F85" s="21"/>
      <c r="G85" s="21"/>
      <c r="H85" s="21"/>
    </row>
    <row r="86" spans="1:8" x14ac:dyDescent="0.25">
      <c r="A86" s="21"/>
      <c r="B86" s="21"/>
      <c r="C86" s="21"/>
      <c r="D86" s="21"/>
      <c r="E86" s="21"/>
      <c r="F86" s="21"/>
      <c r="G86" s="21"/>
      <c r="H86" s="21"/>
    </row>
    <row r="87" spans="1:8" x14ac:dyDescent="0.25">
      <c r="A87" s="21"/>
      <c r="B87" s="21"/>
      <c r="C87" s="21"/>
      <c r="D87" s="21"/>
      <c r="E87" s="21"/>
      <c r="F87" s="21"/>
      <c r="G87" s="21"/>
      <c r="H87" s="21"/>
    </row>
    <row r="88" spans="1:8" x14ac:dyDescent="0.25">
      <c r="A88" s="21"/>
      <c r="B88" s="21"/>
      <c r="C88" s="21"/>
      <c r="D88" s="21"/>
      <c r="E88" s="21"/>
      <c r="F88" s="21"/>
      <c r="G88" s="21"/>
      <c r="H88" s="21"/>
    </row>
    <row r="89" spans="1:8" x14ac:dyDescent="0.25">
      <c r="A89" s="21"/>
      <c r="B89" s="21"/>
      <c r="C89" s="21"/>
      <c r="D89" s="21"/>
      <c r="E89" s="21"/>
      <c r="F89" s="21"/>
      <c r="G89" s="21"/>
      <c r="H89" s="21"/>
    </row>
    <row r="90" spans="1:8" x14ac:dyDescent="0.25">
      <c r="A90" s="21"/>
      <c r="B90" s="21"/>
      <c r="C90" s="21"/>
      <c r="D90" s="21"/>
      <c r="E90" s="21"/>
      <c r="F90" s="21"/>
      <c r="G90" s="21"/>
      <c r="H90" s="21"/>
    </row>
    <row r="91" spans="1:8" x14ac:dyDescent="0.25">
      <c r="A91" s="6"/>
    </row>
    <row r="93" spans="1:8" x14ac:dyDescent="0.25">
      <c r="A93" s="6" t="s">
        <v>21</v>
      </c>
    </row>
    <row r="94" spans="1:8" x14ac:dyDescent="0.25">
      <c r="A94" s="10" t="s">
        <v>37</v>
      </c>
    </row>
    <row r="95" spans="1:8" x14ac:dyDescent="0.25">
      <c r="A95" s="6"/>
    </row>
    <row r="97" spans="1:1" x14ac:dyDescent="0.25">
      <c r="A97" s="6" t="s">
        <v>22</v>
      </c>
    </row>
    <row r="98" spans="1:1" x14ac:dyDescent="0.25">
      <c r="A98" s="11" t="s">
        <v>38</v>
      </c>
    </row>
    <row r="99" spans="1:1" x14ac:dyDescent="0.25">
      <c r="A99" s="11"/>
    </row>
    <row r="100" spans="1:1" x14ac:dyDescent="0.25">
      <c r="A100" s="11"/>
    </row>
    <row r="101" spans="1:1" x14ac:dyDescent="0.25">
      <c r="A101" s="6" t="s">
        <v>23</v>
      </c>
    </row>
    <row r="102" spans="1:1" x14ac:dyDescent="0.25">
      <c r="A102" s="11" t="s">
        <v>39</v>
      </c>
    </row>
    <row r="103" spans="1:1" x14ac:dyDescent="0.25">
      <c r="A103" s="11"/>
    </row>
    <row r="105" spans="1:1" ht="18.75" x14ac:dyDescent="0.3">
      <c r="A105" s="18" t="s">
        <v>24</v>
      </c>
    </row>
    <row r="106" spans="1:1" x14ac:dyDescent="0.25">
      <c r="A106" s="6" t="s">
        <v>28</v>
      </c>
    </row>
    <row r="107" spans="1:1" x14ac:dyDescent="0.25">
      <c r="A107" s="11" t="s">
        <v>40</v>
      </c>
    </row>
    <row r="108" spans="1:1" x14ac:dyDescent="0.25">
      <c r="A108" s="11"/>
    </row>
    <row r="109" spans="1:1" x14ac:dyDescent="0.25">
      <c r="A109" s="11"/>
    </row>
    <row r="110" spans="1:1" x14ac:dyDescent="0.25">
      <c r="A110" s="6" t="s">
        <v>25</v>
      </c>
    </row>
    <row r="111" spans="1:1" x14ac:dyDescent="0.25">
      <c r="A111" s="10" t="s">
        <v>41</v>
      </c>
    </row>
    <row r="112" spans="1:1" x14ac:dyDescent="0.25">
      <c r="A112" s="10"/>
    </row>
    <row r="114" spans="1:1" x14ac:dyDescent="0.25">
      <c r="A114" s="6" t="s">
        <v>34</v>
      </c>
    </row>
    <row r="115" spans="1:1" x14ac:dyDescent="0.25">
      <c r="A115" s="10" t="s">
        <v>42</v>
      </c>
    </row>
    <row r="118" spans="1:1" ht="18.75" x14ac:dyDescent="0.3">
      <c r="A118" s="18" t="s">
        <v>26</v>
      </c>
    </row>
    <row r="119" spans="1:1" x14ac:dyDescent="0.25">
      <c r="A119" s="6" t="s">
        <v>27</v>
      </c>
    </row>
    <row r="120" spans="1:1" x14ac:dyDescent="0.25">
      <c r="A120" s="10" t="s">
        <v>43</v>
      </c>
    </row>
    <row r="121" spans="1:1" x14ac:dyDescent="0.25">
      <c r="A121" s="6"/>
    </row>
    <row r="123" spans="1:1" x14ac:dyDescent="0.25">
      <c r="A123" s="6" t="s">
        <v>44</v>
      </c>
    </row>
    <row r="124" spans="1:1" x14ac:dyDescent="0.25">
      <c r="A124" s="10" t="s">
        <v>45</v>
      </c>
    </row>
    <row r="127" spans="1:1" ht="15.75" x14ac:dyDescent="0.25">
      <c r="A127" s="7"/>
    </row>
  </sheetData>
  <mergeCells count="7">
    <mergeCell ref="A59:H62"/>
    <mergeCell ref="A51:H56"/>
    <mergeCell ref="A65:H69"/>
    <mergeCell ref="A76:H90"/>
    <mergeCell ref="A1:E1"/>
    <mergeCell ref="A33:H38"/>
    <mergeCell ref="A41:H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0222-99FC-4616-92CE-CA56113F73F2}">
  <dimension ref="A1:P16"/>
  <sheetViews>
    <sheetView workbookViewId="0">
      <selection activeCell="D13" sqref="D13"/>
    </sheetView>
  </sheetViews>
  <sheetFormatPr defaultRowHeight="15" x14ac:dyDescent="0.25"/>
  <cols>
    <col min="1" max="1" width="16.7109375" bestFit="1" customWidth="1"/>
    <col min="2" max="2" width="14.140625" bestFit="1" customWidth="1"/>
    <col min="3" max="5" width="14.140625" customWidth="1"/>
    <col min="6" max="6" width="15.42578125" customWidth="1"/>
    <col min="7" max="7" width="14.140625" bestFit="1" customWidth="1"/>
    <col min="8" max="8" width="15" bestFit="1" customWidth="1"/>
    <col min="9" max="9" width="16.85546875" bestFit="1" customWidth="1"/>
    <col min="10" max="11" width="14.140625" bestFit="1" customWidth="1"/>
  </cols>
  <sheetData>
    <row r="1" spans="1:16" x14ac:dyDescent="0.25">
      <c r="A1" t="s">
        <v>65</v>
      </c>
    </row>
    <row r="4" spans="1:16" x14ac:dyDescent="0.25">
      <c r="A4" t="s">
        <v>46</v>
      </c>
      <c r="B4" s="1">
        <f>'Example analysis'!B24</f>
        <v>5200000</v>
      </c>
    </row>
    <row r="5" spans="1:16" x14ac:dyDescent="0.25">
      <c r="C5" s="13"/>
      <c r="D5" s="13"/>
      <c r="E5" s="13"/>
      <c r="G5" s="13"/>
    </row>
    <row r="7" spans="1:16" x14ac:dyDescent="0.25">
      <c r="C7" s="12"/>
      <c r="D7" s="12"/>
      <c r="E7" s="12"/>
      <c r="F7" s="12"/>
      <c r="G7" s="12"/>
      <c r="H7" s="12"/>
      <c r="I7" s="12"/>
      <c r="J7" s="12"/>
      <c r="K7" s="12"/>
    </row>
    <row r="8" spans="1:16" x14ac:dyDescent="0.25">
      <c r="C8" s="1"/>
      <c r="D8" s="1"/>
      <c r="E8" s="1"/>
      <c r="F8" s="1"/>
      <c r="G8" s="1"/>
      <c r="H8" s="1"/>
      <c r="I8" s="1"/>
      <c r="J8" s="1"/>
      <c r="K8" s="1"/>
    </row>
    <row r="9" spans="1:16" x14ac:dyDescent="0.25">
      <c r="A9" s="5" t="s">
        <v>47</v>
      </c>
      <c r="B9" s="5" t="s">
        <v>48</v>
      </c>
    </row>
    <row r="10" spans="1:16" x14ac:dyDescent="0.25">
      <c r="A10" s="2">
        <v>-0.15</v>
      </c>
      <c r="B10" s="1">
        <f>B4*(1+A10)</f>
        <v>4420000</v>
      </c>
    </row>
    <row r="11" spans="1:16" x14ac:dyDescent="0.25">
      <c r="A11" s="2">
        <v>-0.1</v>
      </c>
      <c r="B11" s="1">
        <f t="dataTable" ref="B11:B16" dt2D="0" dtr="0" r1="A10"/>
        <v>4680000</v>
      </c>
    </row>
    <row r="12" spans="1:16" x14ac:dyDescent="0.25">
      <c r="A12" s="2">
        <v>-0.05</v>
      </c>
      <c r="B12" s="1">
        <v>4940000</v>
      </c>
      <c r="J12" s="12"/>
      <c r="K12" s="12"/>
      <c r="L12" s="12"/>
      <c r="M12" s="12"/>
      <c r="N12" s="12"/>
      <c r="O12" s="12"/>
      <c r="P12" s="12"/>
    </row>
    <row r="13" spans="1:16" x14ac:dyDescent="0.25">
      <c r="A13" s="2">
        <v>0</v>
      </c>
      <c r="B13" s="1">
        <v>5200000</v>
      </c>
    </row>
    <row r="14" spans="1:16" x14ac:dyDescent="0.25">
      <c r="A14" s="2">
        <v>0.05</v>
      </c>
      <c r="B14" s="1">
        <v>5460000</v>
      </c>
    </row>
    <row r="15" spans="1:16" x14ac:dyDescent="0.25">
      <c r="A15" s="2">
        <v>0.1</v>
      </c>
      <c r="B15" s="1">
        <v>5720000</v>
      </c>
    </row>
    <row r="16" spans="1:16" x14ac:dyDescent="0.25">
      <c r="A16" s="2">
        <v>0.15</v>
      </c>
      <c r="B16" s="1">
        <v>5980000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Example analysis</vt:lpstr>
      <vt:lpstr>Scenario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Van Den Daele</dc:creator>
  <cp:lastModifiedBy>Tom Van Den Daele</cp:lastModifiedBy>
  <dcterms:created xsi:type="dcterms:W3CDTF">2025-12-02T14:12:22Z</dcterms:created>
  <dcterms:modified xsi:type="dcterms:W3CDTF">2025-12-05T10:09:07Z</dcterms:modified>
</cp:coreProperties>
</file>